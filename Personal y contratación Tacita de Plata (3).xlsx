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7418871-AC30-4EC7-B567-BE541F69D3E1}" xr6:coauthVersionLast="47" xr6:coauthVersionMax="47" xr10:uidLastSave="{00000000-0000-0000-0000-000000000000}"/>
  <bookViews>
    <workbookView xWindow="-120" yWindow="-120" windowWidth="29040" windowHeight="15720" firstSheet="2" activeTab="2" xr2:uid="{85AE413B-3CB5-431B-94CA-69CC584FA32C}"/>
  </bookViews>
  <sheets>
    <sheet name="Personal 2025" sheetId="4" r:id="rId1"/>
    <sheet name="Personal  2026" sheetId="1" r:id="rId2"/>
    <sheet name="Contratos" sheetId="5" r:id="rId3"/>
    <sheet name="Lista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12" i="1"/>
  <c r="C13" i="4"/>
  <c r="D6" i="4"/>
  <c r="D9" i="4"/>
  <c r="D5" i="4"/>
  <c r="D12" i="4"/>
  <c r="D11" i="4"/>
  <c r="D10" i="4"/>
  <c r="D8" i="4"/>
  <c r="D7" i="4"/>
  <c r="D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tc={6F016749-2874-4CF7-A8DB-ACFDAE1CB830}</author>
    <author>tc={15107657-8466-4422-9182-F68C5C8038AD}</author>
    <author>tc={312DFD82-3C67-46D2-8530-3ECA2CBE45A0}</author>
    <author>tc={A34526DF-32B4-4B75-9A88-6A66C82F074B}</author>
  </authors>
  <commentList>
    <comment ref="E4" authorId="0" shapeId="0" xr:uid="{661BE88B-E375-3F49-AE94-1D45A6BF2E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200 a 300
Respuesta:
    Cierre de año con 200</t>
      </text>
    </comment>
    <comment ref="F4" authorId="1" shapeId="0" xr:uid="{2BDC0AAA-E0CE-1F43-A950-75F00699FD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Julio uno nuevo UdeA</t>
      </text>
    </comment>
    <comment ref="F6" authorId="2" shapeId="0" xr:uid="{B7D1C124-B5F6-7545-B3CD-CDCEDE4F3D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Prestación de servicios con persona jurídica </t>
      </text>
    </comment>
    <comment ref="I8" authorId="3" shapeId="0" xr:uid="{3A5E4C0D-4E05-5B41-98D3-C858F0A70E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Prórroga hasta el 30 de julio, con recurso disponible, inicia el nuevo contrato el 1 de agosto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tc={A34526DF-32B4-4B74-9A88-6A66C82F074B}</author>
  </authors>
  <commentList>
    <comment ref="F7" authorId="0" shapeId="0" xr:uid="{A34526DF-32B4-4B74-9A88-6A66C82F07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Prórroga hasta el 30 de julio, con recurso disponible, inicia el nuevo contrato el 1 de agosto</t>
      </text>
    </comment>
  </commentList>
</comments>
</file>

<file path=xl/sharedStrings.xml><?xml version="1.0" encoding="utf-8"?>
<sst xmlns="http://schemas.openxmlformats.org/spreadsheetml/2006/main" count="365" uniqueCount="190">
  <si>
    <t>Cifras actualizadas 2025</t>
  </si>
  <si>
    <t>Personal</t>
  </si>
  <si>
    <t>Personal actual</t>
  </si>
  <si>
    <t>Personal
pendiente</t>
  </si>
  <si>
    <t>Meta 2025</t>
  </si>
  <si>
    <t>Operador</t>
  </si>
  <si>
    <t>Observaciones</t>
  </si>
  <si>
    <t>Link SECOP</t>
  </si>
  <si>
    <t xml:space="preserve">Fecha final </t>
  </si>
  <si>
    <t>Promotores ambientales</t>
  </si>
  <si>
    <t xml:space="preserve"> UdeA (199)
ITM (16)
</t>
  </si>
  <si>
    <t>Arví</t>
  </si>
  <si>
    <t xml:space="preserve">https://community.secop.gov.co/Public/Common/GoogleReCaptcha/Index?previousUrl=https%3a%2f%2fcommunity.secop.gov.co%2fPublic%2fTendering%2fOpportunityDetail%2fIndex%3fnoticeUID%3dCO1.NTC.8074686%26isFromPublicArea%3dTrue%26isModal%3dFalse
https://community.secop.gov.co/Public/Tendering/OpportunityDetail/Index?noticeUID=CO1.NTC.5588699&amp;isFromPublicArea=True&amp;isModal=False </t>
  </si>
  <si>
    <t>7/09/2025 (UdeA)
31/07/2025 (ITM)</t>
  </si>
  <si>
    <t>Guardaquebradas</t>
  </si>
  <si>
    <t>Parque Arví</t>
  </si>
  <si>
    <t>Educadores (Inclusión Social)</t>
  </si>
  <si>
    <t xml:space="preserve">Comité de Estudios Médicos S.A.S (IPS: Mente Plena) </t>
  </si>
  <si>
    <t>https://community.secop.gov.co/Public/Tendering/OpportunityDetail/Index?noticeUID=CO1.NTC.8664095&amp;isFromPublicArea=True&amp;isModal=true&amp;asPopupView=true</t>
  </si>
  <si>
    <t xml:space="preserve">Jardineros </t>
  </si>
  <si>
    <t>Jardín Botánico y Parque Arví</t>
  </si>
  <si>
    <t>https://community.secop.gov.co/Public/Tendering/OpportunityDetail/Index?noticeUID=CO1.NTC.7639295&amp;amp;isFromPublicArea=True&amp;amp;isModal=true&amp;amp;asPopupView=true
https://community.secop.gov.co/Public/Tendering/OpportunityDetail/Index?noticeUID=CO1.NTC.8057338&amp;amp;isFromPublicArea=True&amp;amp;isModal=true&amp;amp;asPopupView=true</t>
  </si>
  <si>
    <t>31/12/2025 (Jardín)
31/12/2025 (Arví)</t>
  </si>
  <si>
    <t xml:space="preserve">Espacio Público </t>
  </si>
  <si>
    <t>Fundación Pascual Bravo</t>
  </si>
  <si>
    <t>Cubre ley de garantías</t>
  </si>
  <si>
    <t>https://community.secop.gov.co/Public/Tendering/OpportunityDetail/Index?noticeUID=CO1.NTC.8617373&amp;isFromPublicArea=True&amp;isModal=true&amp;asPopupView=true</t>
  </si>
  <si>
    <t xml:space="preserve">Gestores Operativos </t>
  </si>
  <si>
    <t>EMVARIAS</t>
  </si>
  <si>
    <t>UdeA y Fundación de Sindicatos.</t>
  </si>
  <si>
    <t xml:space="preserve">Promotores puntos crítcos </t>
  </si>
  <si>
    <t>ITM</t>
  </si>
  <si>
    <t>https://community.secop.gov.co/Public/Tendering/OpportunityDetail/Index?noticeUID=CO1.NTC.8143632&amp;isFromPublicArea=True&amp;isModal=true&amp;asPopupView=true</t>
  </si>
  <si>
    <t>Cuadrillas (EDU)</t>
  </si>
  <si>
    <t>EDU</t>
  </si>
  <si>
    <t>https://community.secop.gov.co/Public/Tendering/OpportunityDetail/Index?noticeUID=CO1.NTC.7954439</t>
  </si>
  <si>
    <t xml:space="preserve">Total </t>
  </si>
  <si>
    <t>Cifras actualizadas 2026</t>
  </si>
  <si>
    <t>Pendientes</t>
  </si>
  <si>
    <t>Comité de Estudios Médicos
Adición y prórroga
Solo Educadores 6.000 millones mensuales con todos .
2.000 solo equipo de calle con los 560</t>
  </si>
  <si>
    <t>Arví y Jardín Botánico 
En proceso  de contratación</t>
  </si>
  <si>
    <t>Gestores Operativos</t>
  </si>
  <si>
    <t xml:space="preserve">Gestión y Control </t>
  </si>
  <si>
    <t xml:space="preserve">EDU- Pendiente contrato nuevo para aumentar personal </t>
  </si>
  <si>
    <t>Proyecto</t>
  </si>
  <si>
    <t>Dependencia</t>
  </si>
  <si>
    <t>Contrato</t>
  </si>
  <si>
    <t>Actividad</t>
  </si>
  <si>
    <t>Estado</t>
  </si>
  <si>
    <t>Contratista</t>
  </si>
  <si>
    <t xml:space="preserve">Inicio </t>
  </si>
  <si>
    <t>Terminación</t>
  </si>
  <si>
    <t xml:space="preserve">Link </t>
  </si>
  <si>
    <t xml:space="preserve">Observación </t>
  </si>
  <si>
    <t xml:space="preserve">Medellín Tacita de Plata </t>
  </si>
  <si>
    <t>Secretaría de Seguridad</t>
  </si>
  <si>
    <t>Gestores operativos y personal espacio público</t>
  </si>
  <si>
    <t xml:space="preserve">Precontractual </t>
  </si>
  <si>
    <t xml:space="preserve">Fundación Pascual Bravo </t>
  </si>
  <si>
    <t>https://community.secop.gov.co/Public/Tendering/OpportunityDetail/Index?noticeUID=CO1.NTC.9816643&amp;isFromPublicArea=True&amp;isModal=False</t>
  </si>
  <si>
    <t>Contratación personal Espacio Público y Gestores</t>
  </si>
  <si>
    <t>Recolección cambuches</t>
  </si>
  <si>
    <t>Terminado</t>
  </si>
  <si>
    <t>https://community.secop.gov.co/Public/Tendering/OpportunityDetail/Index?noticeUID=CO1.NTC.8232942&amp;isFromPublicArea=True&amp;isModal=true&amp;asPopupView=true</t>
  </si>
  <si>
    <t xml:space="preserve">Alerta Precontractual </t>
  </si>
  <si>
    <t>Necesidad 56525
15/09/2026: La necesidad se encuentra en proceso de aprobacion de actividades en SAP paar proceder con la expedicion del SOLPEDIDO</t>
  </si>
  <si>
    <t>Secretaría de Gestión y Control</t>
  </si>
  <si>
    <t>Promotores (puntos críticos)</t>
  </si>
  <si>
    <t xml:space="preserve">Ejecución </t>
  </si>
  <si>
    <t>https://community.secop.gov.co/Public/Tendering/OpportunityDetail/Index?noticeUID=CO1.NTC.10546732&amp;isFromPublicArea=True&amp;isModal=False</t>
  </si>
  <si>
    <t>Operación logística (camapaña Tu sepaara yo reciclo)</t>
  </si>
  <si>
    <t>Metroparques</t>
  </si>
  <si>
    <t>https://community.secop.gov.co/Public/Tendering/OpportunityDetail/Index?noticeUID=CO1.NTC.10705437&amp;isFromPublicArea=True&amp;isModal=False</t>
  </si>
  <si>
    <t>Suministro de alumbrado público</t>
  </si>
  <si>
    <t>Epm</t>
  </si>
  <si>
    <t>https://community.secop.gov.co/Public/Tendering/OpportunityDetail/Index?noticeUID=CO1.NTC.9044822&amp;isFromPublicArea=True&amp;isModal=False</t>
  </si>
  <si>
    <t>Mantenimiento e instalación de alumbrado público</t>
  </si>
  <si>
    <t>https://community.secop.gov.co/Public/Tendering/OpportunityDetail/Index?noticeUID=CO1.NTC.9044923&amp;isFromPublicArea=True&amp;isModal=False</t>
  </si>
  <si>
    <t>Interventoría de alumbrado público</t>
  </si>
  <si>
    <t>Consorcio Inter Iluminación Velnec</t>
  </si>
  <si>
    <t>https://community.secop.gov.co/Public/Tendering/OpportunityDetail/Index?noticeUID=CO1.NTC.9149275&amp;isFromPublicArea=True&amp;isModal=False</t>
  </si>
  <si>
    <t xml:space="preserve">Secretaría de Medio Ambiente </t>
  </si>
  <si>
    <t xml:space="preserve">Recolección residuos </t>
  </si>
  <si>
    <t>https://community.secop.gov.co/Public/Tendering/OpportunityDetail/Index?noticeUID=CO1.NTC.10530134&amp;isFromPublicArea=True&amp;isModal=False</t>
  </si>
  <si>
    <t>Pendiente de ejecución recurso</t>
  </si>
  <si>
    <t>PP estrategias de sostenibilidad ambiental</t>
  </si>
  <si>
    <t xml:space="preserve">Parque Arví </t>
  </si>
  <si>
    <t>https://community.secop.gov.co/Public/Tendering/OpportunityDetail/Index?noticeUID=CO1.NTC.10422904&amp;isFromPublicArea=True&amp;isModal=False</t>
  </si>
  <si>
    <t>Secretaría de Inclusión Social</t>
  </si>
  <si>
    <t>Educadores</t>
  </si>
  <si>
    <t>Próximo a terminar directo</t>
  </si>
  <si>
    <t>Comité de Estudios Médicos</t>
  </si>
  <si>
    <t>https://community.secop.gov.co/Public/Tendering/OpportunityDetail/Index?noticeUID=CO1.NTC.9496025&amp;isFromPublicArea=True&amp;isModal=true&amp;asPopupView=true</t>
  </si>
  <si>
    <t>Resocialización</t>
  </si>
  <si>
    <t>Corporación Obra Social Nuevos Ideales</t>
  </si>
  <si>
    <t>https://community.secop.gov.co/Public/Tendering/OpportunityDetail/Index?noticeUID=CO1.NTC.9439517&amp;isFromPublicArea=True&amp;isModal=true&amp;asPopupView=true</t>
  </si>
  <si>
    <t>Albergue</t>
  </si>
  <si>
    <t>Corporación Semillas del Bienestar</t>
  </si>
  <si>
    <t>https://community.secop.gov.co/Public/Tendering/OpportunityDetail/Index?noticeUID=CO1.NTC.9527723&amp;isFromPublicArea=True&amp;isModal=true&amp;asPopupView=true</t>
  </si>
  <si>
    <t>Secretaría de Infraestructura</t>
  </si>
  <si>
    <t>Corredores verdes y jardineros</t>
  </si>
  <si>
    <t xml:space="preserve">Jardín Botánico </t>
  </si>
  <si>
    <t>https://community.secop.gov.co/Public/Tendering/OpportunityDetail/Index?noticeUID=CO1.NTC.9885625&amp;isFromPublicArea=True&amp;isModal=true&amp;asPopupView=true</t>
  </si>
  <si>
    <t xml:space="preserve">Firmado </t>
  </si>
  <si>
    <t>https://community.secop.gov.co/Public/Tendering/OpportunityDetail/Index?noticeUID=CO1.NTC.10921380&amp;isFromPublicArea=True&amp;isModal=true&amp;asPopupView=true</t>
  </si>
  <si>
    <t>Necesidad 57352</t>
  </si>
  <si>
    <t>Contingencias</t>
  </si>
  <si>
    <t>https://community.secop.gov.co/Public/Tendering/OpportunityDetail/Index?noticeUID=CO1.NTC.9086184&amp;isFromPublicArea=True&amp;isModal=true&amp;asPopupView=true</t>
  </si>
  <si>
    <t>Pendiente de Comité de Contratación EDU</t>
  </si>
  <si>
    <t>https://community.secop.gov.co/Public/Tendering/OpportunityDetail/Index?noticeUID=CO1.NTC.8057338&amp;isFromPublicArea=True&amp;isModal=true&amp;asPopupView=true</t>
  </si>
  <si>
    <t>Pendiente Junta Directiva Arví</t>
  </si>
  <si>
    <t>Poda</t>
  </si>
  <si>
    <t xml:space="preserve">Lavado </t>
  </si>
  <si>
    <t>Cicloinfraestructura</t>
  </si>
  <si>
    <t>Pintuvial</t>
  </si>
  <si>
    <t>https://community.secop.gov.co/Public/Tendering/OpportunityDetail/Index?noticeUID=CO1.NTC.9243237&amp;isFromPublicArea=True&amp;isModal=true&amp;asPopupView=true</t>
  </si>
  <si>
    <t>Interventoría a las obras de mantenimiento de la red de cicloinfraestructura de la ciudad</t>
  </si>
  <si>
    <t>Cicloinfraestructura 20005479</t>
  </si>
  <si>
    <t>https://community.secop.gov.co/Public/Tendering/OpportunityDetail/Index?noticeUID=CO1.NTC.9316307&amp;isFromPublicArea=True&amp;isModal=true&amp;asPopupView=true</t>
  </si>
  <si>
    <t>Suministro e instalación de cicloparqueaderos y obras complementarias</t>
  </si>
  <si>
    <t>Todico S.A.S</t>
  </si>
  <si>
    <t>https://community.secop.gov.co/Public/Tendering/OpportunityDetail/Index?noticeUID=CO1.NTC.10255594&amp;isFromPublicArea=True&amp;isModal=true&amp;asPopupView=true</t>
  </si>
  <si>
    <t>Interventoría al suministro e instalación de cicloparqueaderos y obras complementarias</t>
  </si>
  <si>
    <t>Nogaall S.A.S</t>
  </si>
  <si>
    <t>https://community.secop.gov.co/Public/Tendering/OpportunityDetail/Index?noticeUID=CO1.NTC.10374625&amp;isFromPublicArea=True&amp;isModal=true&amp;asPopupView=true</t>
  </si>
  <si>
    <t>Mantenimiento de andenes</t>
  </si>
  <si>
    <t>Consorcio NGI Peatonal</t>
  </si>
  <si>
    <t>https://community.secop.gov.co/Public/Tendering/OpportunityDetail/Index?noticeUID=CO1.NTC.9241956&amp;isFromPublicArea=True&amp;isModal=true&amp;asPopupView=true</t>
  </si>
  <si>
    <t>Necesidad 56185:Mantenimiento de andenes y obras complementarias
15/09/2026: El proceso se encuentra en evaluación de ofertas</t>
  </si>
  <si>
    <t>Interventoría para el mantenimiento de andenes y obras complementarias</t>
  </si>
  <si>
    <t xml:space="preserve">Necesidad 56186: 15/09/2026: El proceso fue publicado el dia 09/09/2026 </t>
  </si>
  <si>
    <t>Construcción y mejoramiento de andenes y obras complementarias</t>
  </si>
  <si>
    <t>Necesidad 56177: 15/09/2026: El proceso se encuentra en evaluacion de ofertas</t>
  </si>
  <si>
    <t>Interventoría para la construcción y mejoramiento de andenes y obras complementarias</t>
  </si>
  <si>
    <t>Necesidad 56178: 15/09/2026: El proceso se encuentra en evaluacion de ofertas</t>
  </si>
  <si>
    <t>Mantenimiento de puentes</t>
  </si>
  <si>
    <t>Consorcio Linar 2025</t>
  </si>
  <si>
    <t>https://community.secop.gov.co/Public/Tendering/OpportunityDetail/Index?noticeUID=CO1.NTC.9242988&amp;isFromPublicArea=True&amp;isModal=true&amp;asPopupView=true</t>
  </si>
  <si>
    <t>Elementos seguridad vial</t>
  </si>
  <si>
    <t>Consorcio Medellín A&amp;R</t>
  </si>
  <si>
    <t>https://community.secop.gov.co/Public/Tendering/OpportunityDetail/Index?noticeUID=CO1.NTC.9243349&amp;isFromPublicArea=True&amp;isModal=true&amp;asPopupView=true</t>
  </si>
  <si>
    <t xml:space="preserve"> Defensas viales, barandas, pasamanos y otros elementos para la seguridad vial.</t>
  </si>
  <si>
    <t>Necesidad 56238: 15/09/2026: El día de hoy se realizará la respectiva publicación del informe de verificación o evaluación</t>
  </si>
  <si>
    <t>Interventoría defensas viales</t>
  </si>
  <si>
    <t>Necesidad 56173
15/09/2026: El día 14/09/2026 fueron publicadas las respuestas a las observaciones del proyecto de pliego de condiciones definitivos, el día de hoy se proyecta aperturar el proceso
Fecha probable de inicio 09/11/2026</t>
  </si>
  <si>
    <t>Vías corregimientos</t>
  </si>
  <si>
    <t>Consorcio Vial 7J</t>
  </si>
  <si>
    <t>https://community.secop.gov.co/Public/Tendering/OpportunityDetail/Index?noticeUID=CO1.NTC.9738805&amp;isFromPublicArea=True&amp;isModal=true&amp;asPopupView=true</t>
  </si>
  <si>
    <t>Necesidad 56172
15/09/2026: El proceso fue aperturado bajo resolución N° SSS202650075591 del 14/09/2026
Fecha probable de inicio 04/11/2026</t>
  </si>
  <si>
    <t>Interventoría para la construcción, mejoramiento y mantenimiento de vías y demás obras complementarias en los corregimientos.</t>
  </si>
  <si>
    <t>Necesidad 56173:
15/09/2026: El día 14/09/2026 fueron publicadas las respuestas a las observaciones del proyecto de pliego de condiciones definitivos, el día de hoy se proyecta aperturar el proceso</t>
  </si>
  <si>
    <t>Construcción, conservación, mantenimiento de la malla vial y obras complementarias</t>
  </si>
  <si>
    <t>Consorcio  Infradetel</t>
  </si>
  <si>
    <t>https://community.secop.gov.co/Public/Tendering/OpportunityDetail/Index?noticeUID=CO1.NTC.10154596</t>
  </si>
  <si>
    <t>Interventoría a la construcción, conservación, mantenimiento de la malla vial y obras complementarias.</t>
  </si>
  <si>
    <t>Consorcio GIS Medellín Víal</t>
  </si>
  <si>
    <t>https://community.secop.gov.co/Public/Tendering/OpportunityDetail/Index?noticeUID=CO1.NTC.10160706&amp;isFromPublicArea=True&amp;isModal=true&amp;asPopupView=true</t>
  </si>
  <si>
    <t>Parques Tejiendo Hogares</t>
  </si>
  <si>
    <t>DINAMIC</t>
  </si>
  <si>
    <t>https://community.secop.gov.co/Public/Tendering/OpportunityDetail/Index?noticeUID=CO1.NTC.8288285&amp;isFromPublicArea=True&amp;isModal=true&amp;asPopupView=true</t>
  </si>
  <si>
    <t>Construcción y mantenimiento espacio público</t>
  </si>
  <si>
    <t>Necesidad 56182: 15/09/2026: El proceso se encuentra en evaluación de ofertas</t>
  </si>
  <si>
    <t>Interventoría a la construcción y mejoramiento de espacios públicos de encuentro y esparcimiento - Grupo 1</t>
  </si>
  <si>
    <t>Necesidad 56183
15/09/2026: El proceso se encuentra en evaluación de ofertas</t>
  </si>
  <si>
    <t>Prestar el servicio de disposición final de residuos de construcción, demolición, tierra, pétreos e inertes, que requiera el distrito</t>
  </si>
  <si>
    <t>Mincivil S.A</t>
  </si>
  <si>
    <t>https://community.secop.gov.co/Public/Tendering/OpportunityDetail/Index?noticeUID=CO1.NTC.10210978&amp;isFromPublicArea=True&amp;isModal=true&amp;asPopupView=true</t>
  </si>
  <si>
    <t>Contrato interadministrativo de mandato sin representación para la administración, operación y mantenimiento de fuentes de agua e infraestructura asociada.</t>
  </si>
  <si>
    <t>Necesidad 56237: en estructuración</t>
  </si>
  <si>
    <t>Obras de construcción y mejoramiento de espacios públicos en el centro de Medellin</t>
  </si>
  <si>
    <t>Necesidad 57106: en publicación en SECOP
Fecha de inicio PAA: 15/08/2026</t>
  </si>
  <si>
    <t>Interventoría a las Obras de construcción y mejoramiento de espacios públicos en el centro de Medellin</t>
  </si>
  <si>
    <t>Necesidad 57107:
Pendiente publicación obra</t>
  </si>
  <si>
    <t xml:space="preserve">Proyecto </t>
  </si>
  <si>
    <t xml:space="preserve">Estado </t>
  </si>
  <si>
    <t>Alianza Cero Hambre</t>
  </si>
  <si>
    <t>Buen Comienzo 365</t>
  </si>
  <si>
    <t>Círculos de Cuidado</t>
  </si>
  <si>
    <t>Cultura del Fútbol</t>
  </si>
  <si>
    <t>En el Colegio Contamos con Vos</t>
  </si>
  <si>
    <t>Habilidades Digitales</t>
  </si>
  <si>
    <t>Próximo a terminar selección</t>
  </si>
  <si>
    <t>Inglés como Segunda Lengua</t>
  </si>
  <si>
    <t>Mayor Cuidado</t>
  </si>
  <si>
    <t>Medellín Capital Creativa</t>
  </si>
  <si>
    <t>Medellín Es Como Vos</t>
  </si>
  <si>
    <t>Parceros y Parceras</t>
  </si>
  <si>
    <t>Salud Mental y Proyectos de Vida</t>
  </si>
  <si>
    <t>Tejiendo Hogares</t>
  </si>
  <si>
    <t>Turismo 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</si>
</sst>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"/>
      <family val="2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6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7" xfId="0" applyBorder="1" applyAlignment="1">
      <alignment wrapText="1"/>
    </xf>
    <xf numFmtId="0" fontId="0" fillId="3" borderId="0" xfId="0" applyFill="1"/>
    <xf numFmtId="0" fontId="0" fillId="0" borderId="2" xfId="0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7" fillId="0" borderId="3" xfId="1" applyBorder="1" applyAlignment="1">
      <alignment wrapText="1"/>
    </xf>
    <xf numFmtId="14" fontId="2" fillId="0" borderId="1" xfId="0" applyNumberFormat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3" xfId="1" applyFont="1" applyBorder="1" applyAlignment="1">
      <alignment wrapText="1"/>
    </xf>
    <xf numFmtId="0" fontId="11" fillId="0" borderId="6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3" xfId="1" applyFont="1" applyFill="1" applyBorder="1" applyAlignment="1">
      <alignment wrapText="1"/>
    </xf>
    <xf numFmtId="0" fontId="10" fillId="0" borderId="5" xfId="1" applyFont="1" applyFill="1" applyBorder="1" applyAlignment="1">
      <alignment wrapText="1"/>
    </xf>
    <xf numFmtId="0" fontId="11" fillId="0" borderId="2" xfId="0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7" xfId="0" applyBorder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wrapText="1"/>
    </xf>
    <xf numFmtId="0" fontId="1" fillId="0" borderId="7" xfId="0" applyFont="1" applyBorder="1"/>
    <xf numFmtId="14" fontId="2" fillId="0" borderId="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4" fontId="0" fillId="0" borderId="0" xfId="0" applyNumberFormat="1"/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1" fillId="0" borderId="3" xfId="0" applyFont="1" applyBorder="1"/>
    <xf numFmtId="1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/>
    </xf>
    <xf numFmtId="4" fontId="6" fillId="0" borderId="0" xfId="0" applyNumberFormat="1" applyFont="1"/>
    <xf numFmtId="0" fontId="0" fillId="0" borderId="1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 vertical="center" wrapText="1"/>
    </xf>
    <xf numFmtId="0" fontId="7" fillId="0" borderId="13" xfId="2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9" xfId="2" applyFill="1" applyBorder="1" applyAlignment="1">
      <alignment wrapText="1"/>
    </xf>
    <xf numFmtId="0" fontId="7" fillId="0" borderId="20" xfId="2" applyFill="1" applyBorder="1" applyAlignment="1">
      <alignment wrapText="1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3" xfId="2" applyFill="1" applyBorder="1" applyAlignment="1">
      <alignment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3" xfId="0" applyFill="1" applyBorder="1" applyAlignment="1">
      <alignment vertical="center" wrapText="1"/>
    </xf>
    <xf numFmtId="0" fontId="0" fillId="4" borderId="17" xfId="0" applyFill="1" applyBorder="1" applyAlignment="1">
      <alignment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3" xfId="0" applyFill="1" applyBorder="1" applyAlignment="1">
      <alignment vertical="center" wrapText="1"/>
    </xf>
    <xf numFmtId="14" fontId="0" fillId="4" borderId="13" xfId="0" applyNumberFormat="1" applyFill="1" applyBorder="1" applyAlignment="1">
      <alignment horizontal="center" vertical="center" wrapText="1"/>
    </xf>
    <xf numFmtId="0" fontId="0" fillId="5" borderId="17" xfId="0" applyFill="1" applyBorder="1" applyAlignment="1">
      <alignment vertical="center" wrapText="1"/>
    </xf>
    <xf numFmtId="14" fontId="0" fillId="5" borderId="13" xfId="0" applyNumberFormat="1" applyFill="1" applyBorder="1" applyAlignment="1">
      <alignment horizontal="center" vertical="center" wrapText="1"/>
    </xf>
    <xf numFmtId="0" fontId="7" fillId="0" borderId="15" xfId="2" applyBorder="1" applyAlignment="1">
      <alignment vertical="center" wrapText="1"/>
    </xf>
    <xf numFmtId="0" fontId="7" fillId="0" borderId="15" xfId="2" applyFill="1" applyBorder="1" applyAlignment="1">
      <alignment vertical="center" wrapText="1"/>
    </xf>
    <xf numFmtId="0" fontId="7" fillId="0" borderId="13" xfId="2" applyFill="1" applyBorder="1" applyAlignment="1">
      <alignment vertical="center" wrapText="1"/>
    </xf>
    <xf numFmtId="0" fontId="12" fillId="0" borderId="0" xfId="0" applyFont="1"/>
    <xf numFmtId="0" fontId="8" fillId="2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59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4.9989318521683403E-2"/>
      </font>
      <fill>
        <patternFill patternType="solid">
          <bgColor theme="9" tint="0.59999389629810485"/>
        </patternFill>
      </fill>
    </dxf>
    <dxf>
      <font>
        <color theme="1" tint="4.9989318521683403E-2"/>
      </font>
      <fill>
        <patternFill patternType="solid">
          <bgColor theme="1" tint="0.499984740745262"/>
        </patternFill>
      </fill>
    </dxf>
    <dxf>
      <font>
        <color theme="1" tint="4.9989318521683403E-2"/>
      </font>
      <fill>
        <patternFill patternType="solid">
          <bgColor rgb="FFFFFF00"/>
        </patternFill>
      </fill>
    </dxf>
    <dxf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 outline="0">
        <left/>
        <right/>
        <top/>
        <bottom/>
      </border>
    </dxf>
    <dxf>
      <font>
        <strike val="0"/>
        <outline val="0"/>
        <shadow val="0"/>
        <vertAlign val="baseline"/>
        <sz val="12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vertAlign val="baseline"/>
        <sz val="12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sz val="12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vertAlign val="baseline"/>
        <sz val="12"/>
      </font>
      <alignment horizontal="center" vertical="center" textRotation="0" wrapText="1" indent="0" justifyLastLine="0" shrinkToFit="0" readingOrder="0"/>
    </dxf>
    <dxf>
      <alignment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vertical="center" wrapText="1"/>
    </dxf>
    <dxf>
      <border>
        <bottom style="thin">
          <color rgb="FF000000"/>
        </bottom>
      </border>
    </dxf>
    <dxf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1" defaultTableStyle="TableStyleMedium2" defaultPivotStyle="PivotStyleLight16">
    <tableStyle name="Invisible" pivot="0" table="0" count="0" xr9:uid="{33C86DC9-5024-4397-BD73-D40567426E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a Andrea Perez Alvarez" id="{99F8A3EA-DDA1-459A-A9B0-04808E09AEC6}" userId="S::1017269112@medellin.gov.co::ec551221-63bd-4ee9-8328-e8ebcb6121ae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122009-ED4A-1444-97C8-69ECA0955DD4}" name="Tabla13" displayName="Tabla13" ref="B3:I13" totalsRowCount="1" headerRowDxfId="43" dataDxfId="41" headerRowBorderDxfId="42" tableBorderDxfId="40" totalsRowBorderDxfId="39">
  <autoFilter ref="B3:I12" xr:uid="{59122009-ED4A-1444-97C8-69ECA0955DD4}"/>
  <tableColumns count="8">
    <tableColumn id="1" xr3:uid="{051F5D28-19B6-D148-B6CE-62B50E865526}" name="Personal" totalsRowLabel="Total " dataDxfId="38" totalsRowDxfId="37"/>
    <tableColumn id="4" xr3:uid="{1B44F246-9101-9A43-BD1A-83DEE4D206D5}" name="Personal actual" totalsRowFunction="sum" dataDxfId="36" totalsRowDxfId="35"/>
    <tableColumn id="8" xr3:uid="{AB594110-48C8-F44C-9E2B-AB4E82ECD253}" name="Personal_x000a_pendiente" dataDxfId="34" totalsRowDxfId="33">
      <calculatedColumnFormula>Tabla13[[#This Row],[Meta 2025]]-Tabla13[[#This Row],[Personal actual]]</calculatedColumnFormula>
    </tableColumn>
    <tableColumn id="5" xr3:uid="{AD27313F-DC99-1C4B-95A9-11EF5AC89FDD}" name="Meta 2025" dataDxfId="32" totalsRowDxfId="31"/>
    <tableColumn id="6" xr3:uid="{C633D999-947C-AB4C-968E-2ACCC62C8E5F}" name="Operador" dataDxfId="30" totalsRowDxfId="29"/>
    <tableColumn id="9" xr3:uid="{5E1C4F3B-E9E1-354B-ADD5-48999162E1C4}" name="Observaciones" dataDxfId="28" totalsRowDxfId="27"/>
    <tableColumn id="7" xr3:uid="{1B4CB57A-1BAD-6C45-AF4E-A5C53D770DB7}" name="Link SECOP" dataDxfId="26" totalsRowDxfId="25"/>
    <tableColumn id="10" xr3:uid="{08343F1C-3F1C-104D-BF9F-FDC721AFFCC6}" name="Fecha final " dataDxfId="24" totalsRow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3CF29-45A3-43CB-B33E-39FFF82A6945}" name="Tabla1" displayName="Tabla1" ref="B2:F12" totalsRowCount="1" headerRowDxfId="22" headerRowBorderDxfId="21" tableBorderDxfId="20" totalsRowBorderDxfId="19">
  <autoFilter ref="B2:F11" xr:uid="{7FE3CF29-45A3-43CB-B33E-39FFF82A6945}"/>
  <tableColumns count="5">
    <tableColumn id="1" xr3:uid="{97FA86BD-84F3-4AA5-96F8-1341A29CDB84}" name="Personal" totalsRowLabel="Total " dataDxfId="18" totalsRowDxfId="17"/>
    <tableColumn id="4" xr3:uid="{39FD8FF5-D58A-42B7-A0DB-43DAD42E49FE}" name="Personal actual" totalsRowFunction="sum" dataDxfId="16" totalsRowDxfId="15"/>
    <tableColumn id="2" xr3:uid="{D24DED56-A69A-4A11-BBE4-A018141DD7B9}" name="Pendientes" totalsRowFunction="sum" dataDxfId="14" totalsRowDxfId="13"/>
    <tableColumn id="9" xr3:uid="{070C3BFC-BD95-4CBE-8AD6-03F9489C4330}" name="Observaciones" dataDxfId="12" totalsRowDxfId="11"/>
    <tableColumn id="10" xr3:uid="{35331A03-7F0E-49FE-9E07-BE037F0D73CE}" name="Fecha final " dataDxfId="10" totalsRow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5E9388-902D-4415-A269-C6F485ADE0DC}" name="Tabla3" displayName="Tabla3" ref="B2:K49" totalsRowShown="0" headerRowDxfId="58" dataDxfId="56" headerRowBorderDxfId="57" tableBorderDxfId="55" totalsRowBorderDxfId="54">
  <autoFilter ref="B2:K49" xr:uid="{D95E9388-902D-4415-A269-C6F485ADE0DC}"/>
  <tableColumns count="10">
    <tableColumn id="1" xr3:uid="{E020CA77-E16B-4140-B95F-4DDCAE9944DC}" name="Proyecto" dataDxfId="53"/>
    <tableColumn id="2" xr3:uid="{1C4D5D5B-598C-4591-925C-1A440955FF53}" name="Dependencia" dataDxfId="52"/>
    <tableColumn id="3" xr3:uid="{0E5C8D84-D381-4A84-B4DF-1CC8B4DFF739}" name="Contrato" dataDxfId="51"/>
    <tableColumn id="4" xr3:uid="{668DD203-1AE3-49BE-8550-47C14BBC44B7}" name="Actividad" dataDxfId="50"/>
    <tableColumn id="5" xr3:uid="{97AA2B27-BB34-4CAF-B737-C0C7C60E0F6A}" name="Estado" dataDxfId="49"/>
    <tableColumn id="6" xr3:uid="{513C2F18-84E9-4867-A9DF-80FBEF666221}" name="Contratista" dataDxfId="48"/>
    <tableColumn id="7" xr3:uid="{F0136EA0-E2BF-45AD-8F0A-FCA4C81EE1F0}" name="Inicio " dataDxfId="47"/>
    <tableColumn id="8" xr3:uid="{90B30BD5-6459-473F-BF3F-644CEF68A53E}" name="Terminación" dataDxfId="46"/>
    <tableColumn id="9" xr3:uid="{C5D5579B-BC0B-45C4-9AAC-26CD3B80BC7A}" name="Link " dataDxfId="45"/>
    <tableColumn id="10" xr3:uid="{4555586D-65A4-4078-86F5-0BCC7DEA2ECD}" name="Observación " dataDxfId="4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5-05-20T13:38:24.32" personId="{99F8A3EA-DDA1-459A-A9B0-04808E09AEC6}" id="{6F016749-2874-4CF7-A8DB-ACFDAE1CB830}">
    <text>De 200 a 300</text>
  </threadedComment>
  <threadedComment ref="E4" dT="2025-07-01T17:06:26.39" personId="{99F8A3EA-DDA1-459A-A9B0-04808E09AEC6}" id="{42EE9923-9570-4547-9D6B-29356441F498}" parentId="{6F016749-2874-4CF7-A8DB-ACFDAE1CB830}">
    <text>Cierre de año con 200</text>
  </threadedComment>
  <threadedComment ref="F4" dT="2025-05-13T20:44:04.50" personId="{99F8A3EA-DDA1-459A-A9B0-04808E09AEC6}" id="{15107657-8466-4422-9182-F68C5C8038AD}">
    <text>Julio uno nuevo UdeA</text>
  </threadedComment>
  <threadedComment ref="F6" dT="2025-05-13T13:33:38.76" personId="{99F8A3EA-DDA1-459A-A9B0-04808E09AEC6}" id="{312DFD82-3C67-46D2-8530-3ECA2CBE45A0}">
    <text xml:space="preserve">Prestación de servicios con persona jurídica </text>
  </threadedComment>
  <threadedComment ref="I8" dT="2025-07-01T17:06:16.58" personId="{99F8A3EA-DDA1-459A-A9B0-04808E09AEC6}" id="{A34526DF-32B4-4B75-9A88-6A66C82F074B}">
    <text>Prórroga hasta el 30 de julio, con recurso disponible, inicia el nuevo contrato el 1 de agosto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7" dT="2025-07-01T17:06:16.58" personId="{99F8A3EA-DDA1-459A-A9B0-04808E09AEC6}" id="{A34526DF-32B4-4B74-9A88-6A66C82F074B}">
    <text>Prórroga hasta el 30 de julio, con recurso disponible, inicia el nuevo contrato el 1 de agosto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community.secop.gov.co/Public/Tendering/OpportunityDetail/Index?noticeUID=CO1.NTC.8057338&amp;amp;isFromPublicArea=True&amp;amp;isModal=true&amp;amp;asPopupView=true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community.secop.gov.co/Public/Tendering/OpportunityDetail/Index?noticeUID=CO1.NTC.8143632&amp;isFromPublicArea=True&amp;isModal=true&amp;asPopupView=true" TargetMode="External"/><Relationship Id="rId1" Type="http://schemas.openxmlformats.org/officeDocument/2006/relationships/hyperlink" Target="https://community.secop.gov.co/Public/Common/GoogleReCaptcha/Index?previousUrl=https%3a%2f%2fcommunity.secop.gov.co%2fPublic%2fTendering%2fOpportunityDetail%2fIndex%3fnoticeUID%3dCO1.NTC.8074686%26isFromPublicArea%3dTrue%26isModal%3dFalse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community.secop.gov.co/Public/Tendering/OpportunityDetail/Index?noticeUID=CO1.NTC.7954439" TargetMode="External"/><Relationship Id="rId4" Type="http://schemas.openxmlformats.org/officeDocument/2006/relationships/hyperlink" Target="https://community.secop.gov.co/Public/Tendering/OpportunityDetail/Index?noticeUID=CO1.NTC.8664095&amp;isFromPublicArea=True&amp;isModal=true&amp;asPopupView=true" TargetMode="External"/><Relationship Id="rId9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ommunity.secop.gov.co/Public/Tendering/OpportunityDetail/Index?noticeUID=CO1.NTC.10422904&amp;isFromPublicArea=True&amp;isModal=False" TargetMode="External"/><Relationship Id="rId13" Type="http://schemas.openxmlformats.org/officeDocument/2006/relationships/hyperlink" Target="https://community.secop.gov.co/Public/Tendering/OpportunityDetail/Index?noticeUID=CO1.NTC.9086184&amp;isFromPublicArea=True&amp;isModal=true&amp;asPopupView=true" TargetMode="External"/><Relationship Id="rId18" Type="http://schemas.openxmlformats.org/officeDocument/2006/relationships/hyperlink" Target="https://community.secop.gov.co/Public/Tendering/OpportunityDetail/Index?noticeUID=CO1.NTC.9243349&amp;isFromPublicArea=True&amp;isModal=true&amp;asPopupView=true" TargetMode="External"/><Relationship Id="rId26" Type="http://schemas.openxmlformats.org/officeDocument/2006/relationships/hyperlink" Target="https://community.secop.gov.co/Public/Tendering/OpportunityDetail/Index?noticeUID=CO1.NTC.10255594&amp;isFromPublicArea=True&amp;isModal=true&amp;asPopupView=true" TargetMode="External"/><Relationship Id="rId3" Type="http://schemas.openxmlformats.org/officeDocument/2006/relationships/hyperlink" Target="https://community.secop.gov.co/Public/Tendering/OpportunityDetail/Index?noticeUID=CO1.NTC.10705437&amp;isFromPublicArea=True&amp;isModal=False" TargetMode="External"/><Relationship Id="rId21" Type="http://schemas.openxmlformats.org/officeDocument/2006/relationships/hyperlink" Target="https://community.secop.gov.co/Public/Tendering/OpportunityDetail/Index?noticeUID=CO1.NTC.8288285&amp;isFromPublicArea=True&amp;isModal=true&amp;asPopupView=true" TargetMode="External"/><Relationship Id="rId7" Type="http://schemas.openxmlformats.org/officeDocument/2006/relationships/hyperlink" Target="https://community.secop.gov.co/Public/Tendering/OpportunityDetail/Index?noticeUID=CO1.NTC.10530134&amp;isFromPublicArea=True&amp;isModal=False" TargetMode="External"/><Relationship Id="rId12" Type="http://schemas.openxmlformats.org/officeDocument/2006/relationships/hyperlink" Target="https://community.secop.gov.co/Public/Tendering/OpportunityDetail/Index?noticeUID=CO1.NTC.9885625&amp;isFromPublicArea=True&amp;isModal=true&amp;asPopupView=true" TargetMode="External"/><Relationship Id="rId17" Type="http://schemas.openxmlformats.org/officeDocument/2006/relationships/hyperlink" Target="https://community.secop.gov.co/Public/Tendering/OpportunityDetail/Index?noticeUID=CO1.NTC.9242988&amp;isFromPublicArea=True&amp;isModal=true&amp;asPopupView=true" TargetMode="External"/><Relationship Id="rId25" Type="http://schemas.openxmlformats.org/officeDocument/2006/relationships/hyperlink" Target="https://community.secop.gov.co/Public/Tendering/OpportunityDetail/Index?noticeUID=CO1.NTC.9316307&amp;isFromPublicArea=True&amp;isModal=true&amp;asPopupView=true" TargetMode="External"/><Relationship Id="rId2" Type="http://schemas.openxmlformats.org/officeDocument/2006/relationships/hyperlink" Target="https://community.secop.gov.co/Public/Tendering/OpportunityDetail/Index?noticeUID=CO1.NTC.10546732&amp;isFromPublicArea=True&amp;isModal=False" TargetMode="External"/><Relationship Id="rId16" Type="http://schemas.openxmlformats.org/officeDocument/2006/relationships/hyperlink" Target="https://community.secop.gov.co/Public/Tendering/OpportunityDetail/Index?noticeUID=CO1.NTC.9243237&amp;isFromPublicArea=True&amp;isModal=true&amp;asPopupView=true" TargetMode="External"/><Relationship Id="rId20" Type="http://schemas.openxmlformats.org/officeDocument/2006/relationships/hyperlink" Target="https://community.secop.gov.co/Public/Tendering/OpportunityDetail/Index?noticeUID=CO1.NTC.8288285&amp;isFromPublicArea=True&amp;isModal=true&amp;asPopupView=true" TargetMode="External"/><Relationship Id="rId29" Type="http://schemas.openxmlformats.org/officeDocument/2006/relationships/hyperlink" Target="https://community.secop.gov.co/Public/Tendering/OpportunityDetail/Index?noticeUID=CO1.NTC.10921380&amp;isFromPublicArea=True&amp;isModal=true&amp;asPopupView=true" TargetMode="External"/><Relationship Id="rId1" Type="http://schemas.openxmlformats.org/officeDocument/2006/relationships/hyperlink" Target="https://community.secop.gov.co/Public/Tendering/OpportunityDetail/Index?noticeUID=CO1.NTC.9816643&amp;isFromPublicArea=True&amp;isModal=False" TargetMode="External"/><Relationship Id="rId6" Type="http://schemas.openxmlformats.org/officeDocument/2006/relationships/hyperlink" Target="https://community.secop.gov.co/Public/Tendering/OpportunityDetail/Index?noticeUID=CO1.NTC.9149275&amp;isFromPublicArea=True&amp;isModal=False" TargetMode="External"/><Relationship Id="rId11" Type="http://schemas.openxmlformats.org/officeDocument/2006/relationships/hyperlink" Target="https://community.secop.gov.co/Public/Tendering/OpportunityDetail/Index?noticeUID=CO1.NTC.9527723&amp;isFromPublicArea=True&amp;isModal=true&amp;asPopupView=true" TargetMode="External"/><Relationship Id="rId24" Type="http://schemas.openxmlformats.org/officeDocument/2006/relationships/hyperlink" Target="https://community.secop.gov.co/Public/Tendering/OpportunityDetail/Index?noticeUID=CO1.NTC.10210978&amp;isFromPublicArea=True&amp;isModal=true&amp;asPopupView=true" TargetMode="External"/><Relationship Id="rId5" Type="http://schemas.openxmlformats.org/officeDocument/2006/relationships/hyperlink" Target="https://community.secop.gov.co/Public/Tendering/OpportunityDetail/Index?noticeUID=CO1.NTC.9044923&amp;isFromPublicArea=True&amp;isModal=False" TargetMode="External"/><Relationship Id="rId15" Type="http://schemas.openxmlformats.org/officeDocument/2006/relationships/hyperlink" Target="https://community.secop.gov.co/Public/Tendering/OpportunityDetail/Index?noticeUID=CO1.NTC.9241956&amp;isFromPublicArea=True&amp;isModal=true&amp;asPopupView=true" TargetMode="External"/><Relationship Id="rId23" Type="http://schemas.openxmlformats.org/officeDocument/2006/relationships/hyperlink" Target="https://community.secop.gov.co/Public/Tendering/OpportunityDetail/Index?noticeUID=CO1.NTC.10160706&amp;isFromPublicArea=True&amp;isModal=true&amp;asPopupView=true" TargetMode="External"/><Relationship Id="rId28" Type="http://schemas.openxmlformats.org/officeDocument/2006/relationships/hyperlink" Target="https://community.secop.gov.co/Public/Tendering/OpportunityDetail/Index?noticeUID=CO1.NTC.8232942&amp;isFromPublicArea=True&amp;isModal=true&amp;asPopupView=true" TargetMode="External"/><Relationship Id="rId10" Type="http://schemas.openxmlformats.org/officeDocument/2006/relationships/hyperlink" Target="https://community.secop.gov.co/Public/Tendering/OpportunityDetail/Index?noticeUID=CO1.NTC.9439517&amp;isFromPublicArea=True&amp;isModal=true&amp;asPopupView=true" TargetMode="External"/><Relationship Id="rId19" Type="http://schemas.openxmlformats.org/officeDocument/2006/relationships/hyperlink" Target="https://community.secop.gov.co/Public/Tendering/OpportunityDetail/Index?noticeUID=CO1.NTC.9738805&amp;isFromPublicArea=True&amp;isModal=true&amp;asPopupView=true" TargetMode="External"/><Relationship Id="rId4" Type="http://schemas.openxmlformats.org/officeDocument/2006/relationships/hyperlink" Target="https://community.secop.gov.co/Public/Tendering/OpportunityDetail/Index?noticeUID=CO1.NTC.9044822&amp;isFromPublicArea=True&amp;isModal=False" TargetMode="External"/><Relationship Id="rId9" Type="http://schemas.openxmlformats.org/officeDocument/2006/relationships/hyperlink" Target="https://community.secop.gov.co/Public/Tendering/OpportunityDetail/Index?noticeUID=CO1.NTC.9496025&amp;isFromPublicArea=True&amp;isModal=true&amp;asPopupView=true" TargetMode="External"/><Relationship Id="rId14" Type="http://schemas.openxmlformats.org/officeDocument/2006/relationships/hyperlink" Target="https://community.secop.gov.co/Public/Tendering/OpportunityDetail/Index?noticeUID=CO1.NTC.8057338&amp;isFromPublicArea=True&amp;isModal=true&amp;asPopupView=true" TargetMode="External"/><Relationship Id="rId22" Type="http://schemas.openxmlformats.org/officeDocument/2006/relationships/hyperlink" Target="https://community.secop.gov.co/Public/Tendering/OpportunityDetail/Index?noticeUID=CO1.NTC.10154596" TargetMode="External"/><Relationship Id="rId27" Type="http://schemas.openxmlformats.org/officeDocument/2006/relationships/hyperlink" Target="https://community.secop.gov.co/Public/Tendering/OpportunityDetail/Index?noticeUID=CO1.NTC.10374625&amp;isFromPublicArea=True&amp;isModal=true&amp;asPopupView=true" TargetMode="External"/><Relationship Id="rId30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FF49-EA5F-4121-9F68-E42F793EDBF4}">
  <dimension ref="B1:I13"/>
  <sheetViews>
    <sheetView zoomScale="125" zoomScaleNormal="110" workbookViewId="0">
      <selection activeCell="H10" sqref="H10"/>
    </sheetView>
  </sheetViews>
  <sheetFormatPr baseColWidth="10" defaultColWidth="11.42578125" defaultRowHeight="15" x14ac:dyDescent="0.25"/>
  <cols>
    <col min="2" max="2" width="20.140625" customWidth="1"/>
    <col min="3" max="3" width="16.7109375" customWidth="1"/>
    <col min="4" max="4" width="17" hidden="1" customWidth="1"/>
    <col min="7" max="7" width="13.140625" customWidth="1"/>
    <col min="8" max="8" width="60.28515625" customWidth="1"/>
    <col min="9" max="9" width="53.140625" customWidth="1"/>
  </cols>
  <sheetData>
    <row r="1" spans="2:9" ht="15.75" thickBot="1" x14ac:dyDescent="0.3"/>
    <row r="2" spans="2:9" ht="15.75" x14ac:dyDescent="0.25">
      <c r="B2" s="35"/>
      <c r="C2" s="90" t="s">
        <v>0</v>
      </c>
      <c r="D2" s="91"/>
      <c r="E2" s="91"/>
      <c r="F2" s="91"/>
      <c r="G2" s="91"/>
      <c r="H2" s="91"/>
      <c r="I2" s="92"/>
    </row>
    <row r="3" spans="2:9" ht="31.5" x14ac:dyDescent="0.25">
      <c r="B3" s="44" t="s">
        <v>1</v>
      </c>
      <c r="C3" s="45" t="s">
        <v>2</v>
      </c>
      <c r="D3" s="45" t="s">
        <v>3</v>
      </c>
      <c r="E3" s="45" t="s">
        <v>4</v>
      </c>
      <c r="F3" s="45" t="s">
        <v>5</v>
      </c>
      <c r="G3" s="45" t="s">
        <v>6</v>
      </c>
      <c r="H3" s="45" t="s">
        <v>7</v>
      </c>
      <c r="I3" s="45" t="s">
        <v>8</v>
      </c>
    </row>
    <row r="4" spans="2:9" ht="98.1" customHeight="1" x14ac:dyDescent="0.25">
      <c r="B4" s="46" t="s">
        <v>9</v>
      </c>
      <c r="C4" s="31">
        <v>214</v>
      </c>
      <c r="D4" s="16">
        <f>Tabla13[[#This Row],[Meta 2025]]-Tabla13[[#This Row],[Personal actual]]</f>
        <v>0</v>
      </c>
      <c r="E4" s="47">
        <v>214</v>
      </c>
      <c r="F4" s="48" t="s">
        <v>10</v>
      </c>
      <c r="G4" s="49" t="s">
        <v>11</v>
      </c>
      <c r="H4" s="25" t="s">
        <v>12</v>
      </c>
      <c r="I4" s="17" t="s">
        <v>13</v>
      </c>
    </row>
    <row r="5" spans="2:9" ht="15.75" x14ac:dyDescent="0.25">
      <c r="B5" s="46" t="s">
        <v>14</v>
      </c>
      <c r="C5" s="31">
        <v>82</v>
      </c>
      <c r="D5" s="16">
        <f>Tabla13[[#This Row],[Meta 2025]]-Tabla13[[#This Row],[Personal actual]]</f>
        <v>-7</v>
      </c>
      <c r="E5" s="31">
        <v>75</v>
      </c>
      <c r="F5" s="31" t="s">
        <v>15</v>
      </c>
      <c r="G5" s="50"/>
      <c r="H5" s="51"/>
      <c r="I5" s="51"/>
    </row>
    <row r="6" spans="2:9" ht="110.25" x14ac:dyDescent="0.25">
      <c r="B6" s="33" t="s">
        <v>16</v>
      </c>
      <c r="C6" s="31">
        <v>560</v>
      </c>
      <c r="D6" s="16">
        <f>Tabla13[[#This Row],[Meta 2025]]-Tabla13[[#This Row],[Personal actual]]</f>
        <v>-151</v>
      </c>
      <c r="E6" s="16">
        <v>409</v>
      </c>
      <c r="F6" s="23" t="s">
        <v>17</v>
      </c>
      <c r="G6" s="50"/>
      <c r="H6" s="77" t="s">
        <v>18</v>
      </c>
      <c r="I6" s="52">
        <v>46022</v>
      </c>
    </row>
    <row r="7" spans="2:9" ht="110.25" x14ac:dyDescent="0.25">
      <c r="B7" s="33" t="s">
        <v>19</v>
      </c>
      <c r="C7" s="31">
        <v>600</v>
      </c>
      <c r="D7" s="16">
        <f>Tabla13[[#This Row],[Meta 2025]]-Tabla13[[#This Row],[Personal actual]]</f>
        <v>0</v>
      </c>
      <c r="E7" s="31">
        <v>600</v>
      </c>
      <c r="F7" s="48" t="s">
        <v>20</v>
      </c>
      <c r="G7" s="51"/>
      <c r="H7" s="18" t="s">
        <v>21</v>
      </c>
      <c r="I7" s="17" t="s">
        <v>22</v>
      </c>
    </row>
    <row r="8" spans="2:9" ht="47.25" x14ac:dyDescent="0.25">
      <c r="B8" s="19" t="s">
        <v>23</v>
      </c>
      <c r="C8" s="16">
        <v>145</v>
      </c>
      <c r="D8" s="16">
        <f>Tabla13[[#This Row],[Meta 2025]]-Tabla13[[#This Row],[Personal actual]]</f>
        <v>0</v>
      </c>
      <c r="E8" s="31">
        <v>145</v>
      </c>
      <c r="F8" s="48" t="s">
        <v>24</v>
      </c>
      <c r="G8" s="53" t="s">
        <v>25</v>
      </c>
      <c r="H8" s="24" t="s">
        <v>26</v>
      </c>
      <c r="I8" s="20">
        <v>46021</v>
      </c>
    </row>
    <row r="9" spans="2:9" ht="15.75" x14ac:dyDescent="0.25">
      <c r="B9" s="26" t="s">
        <v>27</v>
      </c>
      <c r="C9" s="16">
        <v>227</v>
      </c>
      <c r="D9" s="16">
        <f>Tabla13[[#This Row],[Meta 2025]]-Tabla13[[#This Row],[Personal actual]]</f>
        <v>-227</v>
      </c>
      <c r="E9" s="32"/>
      <c r="F9" s="31"/>
      <c r="G9" s="50"/>
      <c r="H9" s="24"/>
      <c r="I9" s="27"/>
    </row>
    <row r="10" spans="2:9" ht="63" x14ac:dyDescent="0.25">
      <c r="B10" s="19" t="s">
        <v>28</v>
      </c>
      <c r="C10" s="28">
        <v>212</v>
      </c>
      <c r="D10" s="16">
        <f>Tabla13[[#This Row],[Meta 2025]]-Tabla13[[#This Row],[Personal actual]]</f>
        <v>0</v>
      </c>
      <c r="E10" s="31">
        <v>212</v>
      </c>
      <c r="F10" s="48" t="s">
        <v>29</v>
      </c>
      <c r="G10" s="50"/>
      <c r="H10" s="51"/>
      <c r="I10" s="51"/>
    </row>
    <row r="11" spans="2:9" ht="45" x14ac:dyDescent="0.25">
      <c r="B11" s="19" t="s">
        <v>30</v>
      </c>
      <c r="C11" s="16">
        <v>238</v>
      </c>
      <c r="D11" s="21">
        <f>Tabla13[[#This Row],[Meta 2025]]-Tabla13[[#This Row],[Personal actual]]</f>
        <v>100</v>
      </c>
      <c r="E11" s="32">
        <v>338</v>
      </c>
      <c r="F11" s="48" t="s">
        <v>31</v>
      </c>
      <c r="G11" s="51"/>
      <c r="H11" s="12" t="s">
        <v>32</v>
      </c>
      <c r="I11" s="52">
        <v>46022</v>
      </c>
    </row>
    <row r="12" spans="2:9" ht="30" x14ac:dyDescent="0.25">
      <c r="B12" s="19" t="s">
        <v>33</v>
      </c>
      <c r="C12" s="22">
        <v>480</v>
      </c>
      <c r="D12" s="21">
        <f>Tabla13[[#This Row],[Meta 2025]]-Tabla13[[#This Row],[Personal actual]]</f>
        <v>0</v>
      </c>
      <c r="E12" s="32">
        <v>480</v>
      </c>
      <c r="F12" s="54" t="s">
        <v>34</v>
      </c>
      <c r="G12" s="37"/>
      <c r="H12" s="12" t="s">
        <v>35</v>
      </c>
      <c r="I12" s="55">
        <v>46022</v>
      </c>
    </row>
    <row r="13" spans="2:9" ht="15.75" x14ac:dyDescent="0.25">
      <c r="B13" s="33" t="s">
        <v>36</v>
      </c>
      <c r="C13" s="34">
        <f>SUBTOTAL(109,Tabla13[Personal actual])</f>
        <v>2758</v>
      </c>
      <c r="D13" s="35"/>
      <c r="E13" s="32"/>
      <c r="F13" s="36"/>
      <c r="G13" s="37"/>
      <c r="H13" s="38"/>
      <c r="I13" s="38"/>
    </row>
  </sheetData>
  <mergeCells count="1">
    <mergeCell ref="C2:I2"/>
  </mergeCells>
  <hyperlinks>
    <hyperlink ref="H4" r:id="rId1" display="https://community.secop.gov.co/Public/Common/GoogleReCaptcha/Index?previousUrl=https%3a%2f%2fcommunity.secop.gov.co%2fPublic%2fTendering%2fOpportunityDetail%2fIndex%3fnoticeUID%3dCO1.NTC.8074686%26isFromPublicArea%3dTrue%26isModal%3dFalse" xr:uid="{94D84A31-A7EF-0743-A40C-A19782C51A00}"/>
    <hyperlink ref="H11" r:id="rId2" xr:uid="{8AA7694B-8667-524B-A100-42C04A0072D3}"/>
    <hyperlink ref="H7" r:id="rId3" display="https://community.secop.gov.co/Public/Tendering/OpportunityDetail/Index?noticeUID=CO1.NTC.8057338&amp;amp;isFromPublicArea=True&amp;amp;isModal=true&amp;amp;asPopupView=true" xr:uid="{5640AA8E-4D74-354F-83F5-4B42D0F5F979}"/>
    <hyperlink ref="H6" r:id="rId4" xr:uid="{AF57CA7C-0932-9643-935A-D9BD029998AC}"/>
    <hyperlink ref="H12" r:id="rId5" xr:uid="{8C4B2ED8-A082-8D45-8AAD-977F7F75D474}"/>
  </hyperlinks>
  <pageMargins left="0.7" right="0.7" top="0.75" bottom="0.75" header="0.3" footer="0.3"/>
  <legacy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C354-FBF3-4E60-85C1-901D31AA2619}">
  <dimension ref="A1:F22"/>
  <sheetViews>
    <sheetView zoomScale="132" zoomScaleNormal="100" workbookViewId="0">
      <selection activeCell="E8" sqref="E8"/>
    </sheetView>
  </sheetViews>
  <sheetFormatPr baseColWidth="10" defaultColWidth="11.42578125" defaultRowHeight="15" x14ac:dyDescent="0.25"/>
  <cols>
    <col min="2" max="2" width="22.85546875" customWidth="1"/>
    <col min="3" max="4" width="13.7109375" customWidth="1"/>
    <col min="5" max="5" width="51.7109375" customWidth="1"/>
    <col min="6" max="6" width="21.42578125" customWidth="1"/>
  </cols>
  <sheetData>
    <row r="1" spans="1:6" ht="29.1" customHeight="1" x14ac:dyDescent="0.25">
      <c r="C1" s="93" t="s">
        <v>37</v>
      </c>
      <c r="D1" s="94"/>
      <c r="E1" s="94"/>
      <c r="F1" s="95"/>
    </row>
    <row r="2" spans="1:6" ht="38.1" customHeight="1" x14ac:dyDescent="0.25">
      <c r="B2" s="1" t="s">
        <v>1</v>
      </c>
      <c r="C2" s="2" t="s">
        <v>2</v>
      </c>
      <c r="D2" s="2" t="s">
        <v>38</v>
      </c>
      <c r="E2" s="2" t="s">
        <v>6</v>
      </c>
      <c r="F2" s="2" t="s">
        <v>8</v>
      </c>
    </row>
    <row r="3" spans="1:6" ht="82.5" customHeight="1" x14ac:dyDescent="0.25">
      <c r="B3" s="10" t="s">
        <v>9</v>
      </c>
      <c r="C3" s="71">
        <v>211</v>
      </c>
      <c r="D3" s="72">
        <v>35</v>
      </c>
      <c r="E3" s="41" t="s">
        <v>15</v>
      </c>
      <c r="F3" s="13">
        <v>46356</v>
      </c>
    </row>
    <row r="4" spans="1:6" ht="37.5" customHeight="1" x14ac:dyDescent="0.25">
      <c r="B4" s="10" t="s">
        <v>14</v>
      </c>
      <c r="C4" s="71">
        <v>50</v>
      </c>
      <c r="D4" s="72">
        <v>5</v>
      </c>
      <c r="E4" s="41" t="s">
        <v>15</v>
      </c>
      <c r="F4" s="14">
        <v>46356</v>
      </c>
    </row>
    <row r="5" spans="1:6" ht="64.5" customHeight="1" x14ac:dyDescent="0.25">
      <c r="A5" s="9"/>
      <c r="B5" s="4" t="s">
        <v>16</v>
      </c>
      <c r="C5" s="71">
        <v>150</v>
      </c>
      <c r="D5" s="72">
        <v>410</v>
      </c>
      <c r="E5" s="41" t="s">
        <v>39</v>
      </c>
      <c r="F5" s="14">
        <v>46299</v>
      </c>
    </row>
    <row r="6" spans="1:6" ht="30" x14ac:dyDescent="0.25">
      <c r="A6" s="9"/>
      <c r="B6" s="4" t="s">
        <v>19</v>
      </c>
      <c r="C6" s="71">
        <v>0</v>
      </c>
      <c r="D6" s="72">
        <v>600</v>
      </c>
      <c r="E6" s="6" t="s">
        <v>40</v>
      </c>
      <c r="F6" s="13"/>
    </row>
    <row r="7" spans="1:6" x14ac:dyDescent="0.25">
      <c r="A7" s="9"/>
      <c r="B7" s="5" t="s">
        <v>23</v>
      </c>
      <c r="C7" s="3">
        <v>59</v>
      </c>
      <c r="D7" s="64"/>
      <c r="E7" s="42" t="s">
        <v>24</v>
      </c>
      <c r="F7" s="11">
        <v>46387</v>
      </c>
    </row>
    <row r="8" spans="1:6" x14ac:dyDescent="0.25">
      <c r="A8" s="9"/>
      <c r="B8" s="40" t="s">
        <v>41</v>
      </c>
      <c r="C8" s="3">
        <v>228</v>
      </c>
      <c r="D8" s="63">
        <v>43</v>
      </c>
      <c r="E8" s="6" t="s">
        <v>24</v>
      </c>
      <c r="F8" s="39">
        <v>46387</v>
      </c>
    </row>
    <row r="9" spans="1:6" ht="53.1" customHeight="1" x14ac:dyDescent="0.25">
      <c r="A9" s="9"/>
      <c r="B9" s="5" t="s">
        <v>28</v>
      </c>
      <c r="C9" s="3">
        <v>147</v>
      </c>
      <c r="D9" s="63">
        <v>147</v>
      </c>
      <c r="E9" s="6"/>
      <c r="F9" s="14">
        <v>46387</v>
      </c>
    </row>
    <row r="10" spans="1:6" x14ac:dyDescent="0.25">
      <c r="A10" s="9"/>
      <c r="B10" s="5" t="s">
        <v>42</v>
      </c>
      <c r="C10" s="3">
        <v>196</v>
      </c>
      <c r="D10" s="63">
        <v>25</v>
      </c>
      <c r="E10" s="7" t="s">
        <v>31</v>
      </c>
      <c r="F10" s="14">
        <v>46387</v>
      </c>
    </row>
    <row r="11" spans="1:6" ht="30.75" customHeight="1" x14ac:dyDescent="0.25">
      <c r="A11" s="9"/>
      <c r="B11" s="5" t="s">
        <v>33</v>
      </c>
      <c r="C11" s="75">
        <v>16</v>
      </c>
      <c r="D11" s="76">
        <v>464</v>
      </c>
      <c r="E11" s="8" t="s">
        <v>43</v>
      </c>
      <c r="F11" s="15">
        <v>46289</v>
      </c>
    </row>
    <row r="12" spans="1:6" x14ac:dyDescent="0.25">
      <c r="B12" s="4" t="s">
        <v>36</v>
      </c>
      <c r="C12" s="29">
        <f>SUBTOTAL(109,Tabla1[Personal actual])</f>
        <v>1057</v>
      </c>
      <c r="D12" s="29">
        <f>SUBTOTAL(109,Tabla1[Pendientes])</f>
        <v>1729</v>
      </c>
      <c r="E12" s="8"/>
      <c r="F12" s="30"/>
    </row>
    <row r="19" spans="5:5" x14ac:dyDescent="0.25">
      <c r="E19" s="56"/>
    </row>
    <row r="20" spans="5:5" x14ac:dyDescent="0.25">
      <c r="E20" s="43"/>
    </row>
    <row r="21" spans="5:5" x14ac:dyDescent="0.25">
      <c r="E21" s="56"/>
    </row>
    <row r="22" spans="5:5" x14ac:dyDescent="0.25">
      <c r="E22" s="43"/>
    </row>
  </sheetData>
  <mergeCells count="1">
    <mergeCell ref="C1:F1"/>
  </mergeCells>
  <phoneticPr fontId="5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D7CF-AD85-4467-A5F1-52B478335556}">
  <dimension ref="B2:K49"/>
  <sheetViews>
    <sheetView tabSelected="1" workbookViewId="0">
      <selection activeCell="G11" sqref="G11"/>
    </sheetView>
  </sheetViews>
  <sheetFormatPr baseColWidth="10" defaultColWidth="9.140625" defaultRowHeight="15" x14ac:dyDescent="0.25"/>
  <cols>
    <col min="2" max="2" width="18.42578125" style="62" customWidth="1"/>
    <col min="3" max="3" width="26.7109375" style="62" customWidth="1"/>
    <col min="4" max="4" width="12.5703125" style="62" customWidth="1"/>
    <col min="5" max="5" width="43.42578125" style="62" customWidth="1"/>
    <col min="6" max="6" width="14" style="62" customWidth="1"/>
    <col min="7" max="7" width="21.85546875" style="62" customWidth="1"/>
    <col min="8" max="8" width="14.140625" style="62" customWidth="1"/>
    <col min="9" max="9" width="14.42578125" style="62" customWidth="1"/>
    <col min="10" max="10" width="56.28515625" style="62" customWidth="1"/>
    <col min="11" max="11" width="62.5703125" style="62" customWidth="1"/>
  </cols>
  <sheetData>
    <row r="2" spans="2:11" x14ac:dyDescent="0.25">
      <c r="B2" s="57" t="s">
        <v>44</v>
      </c>
      <c r="C2" s="58" t="s">
        <v>45</v>
      </c>
      <c r="D2" s="58" t="s">
        <v>46</v>
      </c>
      <c r="E2" s="58" t="s">
        <v>47</v>
      </c>
      <c r="F2" s="58" t="s">
        <v>48</v>
      </c>
      <c r="G2" s="58" t="s">
        <v>49</v>
      </c>
      <c r="H2" s="58" t="s">
        <v>50</v>
      </c>
      <c r="I2" s="58" t="s">
        <v>51</v>
      </c>
      <c r="J2" s="58" t="s">
        <v>52</v>
      </c>
      <c r="K2" s="58" t="s">
        <v>53</v>
      </c>
    </row>
    <row r="3" spans="2:11" ht="45" x14ac:dyDescent="0.25">
      <c r="B3" s="59" t="s">
        <v>54</v>
      </c>
      <c r="C3" s="66" t="s">
        <v>55</v>
      </c>
      <c r="D3" s="66">
        <v>4600107540</v>
      </c>
      <c r="E3" s="60" t="s">
        <v>56</v>
      </c>
      <c r="F3" s="66" t="s">
        <v>57</v>
      </c>
      <c r="G3" s="60" t="s">
        <v>58</v>
      </c>
      <c r="H3" s="68">
        <v>46294</v>
      </c>
      <c r="I3" s="68">
        <v>46387</v>
      </c>
      <c r="J3" s="70" t="s">
        <v>59</v>
      </c>
      <c r="K3" s="60" t="s">
        <v>60</v>
      </c>
    </row>
    <row r="4" spans="2:11" ht="45" x14ac:dyDescent="0.25">
      <c r="B4" s="59" t="s">
        <v>54</v>
      </c>
      <c r="C4" s="66" t="s">
        <v>55</v>
      </c>
      <c r="D4" s="66">
        <v>4600105064</v>
      </c>
      <c r="E4" s="60" t="s">
        <v>61</v>
      </c>
      <c r="F4" s="66" t="s">
        <v>62</v>
      </c>
      <c r="G4" s="60" t="s">
        <v>28</v>
      </c>
      <c r="H4" s="68">
        <v>45814</v>
      </c>
      <c r="I4" s="68">
        <v>46212</v>
      </c>
      <c r="J4" s="70" t="s">
        <v>63</v>
      </c>
      <c r="K4" s="60"/>
    </row>
    <row r="5" spans="2:11" ht="45" x14ac:dyDescent="0.25">
      <c r="B5" s="59" t="s">
        <v>54</v>
      </c>
      <c r="C5" s="66" t="s">
        <v>55</v>
      </c>
      <c r="D5" s="66"/>
      <c r="E5" s="60" t="s">
        <v>61</v>
      </c>
      <c r="F5" s="66" t="s">
        <v>64</v>
      </c>
      <c r="G5" s="60" t="s">
        <v>28</v>
      </c>
      <c r="H5" s="68"/>
      <c r="I5" s="68"/>
      <c r="J5" s="70"/>
      <c r="K5" s="60" t="s">
        <v>65</v>
      </c>
    </row>
    <row r="6" spans="2:11" ht="45" x14ac:dyDescent="0.25">
      <c r="B6" s="59" t="s">
        <v>54</v>
      </c>
      <c r="C6" s="66" t="s">
        <v>66</v>
      </c>
      <c r="D6" s="66">
        <v>4600108237</v>
      </c>
      <c r="E6" s="60" t="s">
        <v>67</v>
      </c>
      <c r="F6" s="66" t="s">
        <v>68</v>
      </c>
      <c r="G6" s="60" t="s">
        <v>31</v>
      </c>
      <c r="H6" s="68">
        <v>46246</v>
      </c>
      <c r="I6" s="68">
        <v>46387</v>
      </c>
      <c r="J6" s="73" t="s">
        <v>69</v>
      </c>
      <c r="K6" s="60"/>
    </row>
    <row r="7" spans="2:11" ht="45" x14ac:dyDescent="0.25">
      <c r="B7" s="59" t="s">
        <v>54</v>
      </c>
      <c r="C7" s="66" t="s">
        <v>66</v>
      </c>
      <c r="D7" s="66">
        <v>4600108536</v>
      </c>
      <c r="E7" s="60" t="s">
        <v>70</v>
      </c>
      <c r="F7" s="66" t="s">
        <v>68</v>
      </c>
      <c r="G7" s="60" t="s">
        <v>71</v>
      </c>
      <c r="H7" s="68">
        <v>46269</v>
      </c>
      <c r="I7" s="68">
        <v>46387</v>
      </c>
      <c r="J7" s="74" t="s">
        <v>72</v>
      </c>
      <c r="K7" s="60"/>
    </row>
    <row r="8" spans="2:11" ht="45" x14ac:dyDescent="0.25">
      <c r="B8" s="59" t="s">
        <v>54</v>
      </c>
      <c r="C8" s="66" t="s">
        <v>66</v>
      </c>
      <c r="D8" s="66">
        <v>4600106142</v>
      </c>
      <c r="E8" s="60" t="s">
        <v>73</v>
      </c>
      <c r="F8" s="66" t="s">
        <v>68</v>
      </c>
      <c r="G8" s="60" t="s">
        <v>74</v>
      </c>
      <c r="H8" s="68">
        <v>46054</v>
      </c>
      <c r="I8" s="68">
        <v>46752</v>
      </c>
      <c r="J8" s="74" t="s">
        <v>75</v>
      </c>
      <c r="K8" s="60"/>
    </row>
    <row r="9" spans="2:11" ht="45" x14ac:dyDescent="0.25">
      <c r="B9" s="59" t="s">
        <v>54</v>
      </c>
      <c r="C9" s="66" t="s">
        <v>66</v>
      </c>
      <c r="D9" s="66">
        <v>4600106143</v>
      </c>
      <c r="E9" s="60" t="s">
        <v>76</v>
      </c>
      <c r="F9" s="66" t="s">
        <v>68</v>
      </c>
      <c r="G9" s="60" t="s">
        <v>74</v>
      </c>
      <c r="H9" s="68">
        <v>46054</v>
      </c>
      <c r="I9" s="68">
        <v>46752</v>
      </c>
      <c r="J9" s="74" t="s">
        <v>77</v>
      </c>
      <c r="K9" s="60"/>
    </row>
    <row r="10" spans="2:11" ht="45" x14ac:dyDescent="0.25">
      <c r="B10" s="59" t="s">
        <v>54</v>
      </c>
      <c r="C10" s="66" t="s">
        <v>66</v>
      </c>
      <c r="D10" s="66">
        <v>4600107168</v>
      </c>
      <c r="E10" s="60" t="s">
        <v>78</v>
      </c>
      <c r="F10" s="66" t="s">
        <v>68</v>
      </c>
      <c r="G10" s="60" t="s">
        <v>79</v>
      </c>
      <c r="H10" s="68">
        <v>46054</v>
      </c>
      <c r="I10" s="68">
        <v>46752</v>
      </c>
      <c r="J10" s="74" t="s">
        <v>80</v>
      </c>
      <c r="K10" s="60"/>
    </row>
    <row r="11" spans="2:11" ht="45" x14ac:dyDescent="0.25">
      <c r="B11" s="59" t="s">
        <v>54</v>
      </c>
      <c r="C11" s="66" t="s">
        <v>81</v>
      </c>
      <c r="D11" s="66">
        <v>4600108257</v>
      </c>
      <c r="E11" s="60" t="s">
        <v>82</v>
      </c>
      <c r="F11" s="66" t="s">
        <v>68</v>
      </c>
      <c r="G11" s="60" t="s">
        <v>28</v>
      </c>
      <c r="H11" s="68">
        <v>46220</v>
      </c>
      <c r="I11" s="68">
        <v>46387</v>
      </c>
      <c r="J11" s="70" t="s">
        <v>83</v>
      </c>
      <c r="K11" s="60" t="s">
        <v>84</v>
      </c>
    </row>
    <row r="12" spans="2:11" ht="45" x14ac:dyDescent="0.25">
      <c r="B12" s="59" t="s">
        <v>54</v>
      </c>
      <c r="C12" s="66" t="s">
        <v>81</v>
      </c>
      <c r="D12" s="66">
        <v>4600108068</v>
      </c>
      <c r="E12" s="60" t="s">
        <v>85</v>
      </c>
      <c r="F12" s="66" t="s">
        <v>68</v>
      </c>
      <c r="G12" s="60" t="s">
        <v>86</v>
      </c>
      <c r="H12" s="68">
        <v>46205</v>
      </c>
      <c r="I12" s="68">
        <v>46356</v>
      </c>
      <c r="J12" s="70" t="s">
        <v>87</v>
      </c>
      <c r="K12" s="60"/>
    </row>
    <row r="13" spans="2:11" ht="45" x14ac:dyDescent="0.25">
      <c r="B13" s="59" t="s">
        <v>54</v>
      </c>
      <c r="C13" s="66" t="s">
        <v>88</v>
      </c>
      <c r="D13" s="66">
        <v>4600106984</v>
      </c>
      <c r="E13" s="60" t="s">
        <v>89</v>
      </c>
      <c r="F13" s="66" t="s">
        <v>90</v>
      </c>
      <c r="G13" s="60" t="s">
        <v>91</v>
      </c>
      <c r="H13" s="68">
        <v>46036</v>
      </c>
      <c r="I13" s="68">
        <v>46299</v>
      </c>
      <c r="J13" s="70" t="s">
        <v>92</v>
      </c>
      <c r="K13" s="60"/>
    </row>
    <row r="14" spans="2:11" ht="45" x14ac:dyDescent="0.25">
      <c r="B14" s="59" t="s">
        <v>54</v>
      </c>
      <c r="C14" s="66" t="s">
        <v>88</v>
      </c>
      <c r="D14" s="66">
        <v>4600106699</v>
      </c>
      <c r="E14" s="60" t="s">
        <v>93</v>
      </c>
      <c r="F14" s="66" t="s">
        <v>90</v>
      </c>
      <c r="G14" s="60" t="s">
        <v>94</v>
      </c>
      <c r="H14" s="68">
        <v>46035</v>
      </c>
      <c r="I14" s="68">
        <v>46324</v>
      </c>
      <c r="J14" s="70" t="s">
        <v>95</v>
      </c>
      <c r="K14" s="60"/>
    </row>
    <row r="15" spans="2:11" ht="45" x14ac:dyDescent="0.25">
      <c r="B15" s="59" t="s">
        <v>54</v>
      </c>
      <c r="C15" s="66" t="s">
        <v>88</v>
      </c>
      <c r="D15" s="66">
        <v>4600106837</v>
      </c>
      <c r="E15" s="60" t="s">
        <v>96</v>
      </c>
      <c r="F15" s="66" t="s">
        <v>90</v>
      </c>
      <c r="G15" s="60" t="s">
        <v>97</v>
      </c>
      <c r="H15" s="68">
        <v>46038</v>
      </c>
      <c r="I15" s="68">
        <v>46310</v>
      </c>
      <c r="J15" s="70" t="s">
        <v>98</v>
      </c>
      <c r="K15" s="60"/>
    </row>
    <row r="16" spans="2:11" ht="45" x14ac:dyDescent="0.25">
      <c r="B16" s="59" t="s">
        <v>54</v>
      </c>
      <c r="C16" s="66" t="s">
        <v>99</v>
      </c>
      <c r="D16" s="66">
        <v>4600107659</v>
      </c>
      <c r="E16" s="60" t="s">
        <v>100</v>
      </c>
      <c r="F16" s="66" t="s">
        <v>62</v>
      </c>
      <c r="G16" s="60" t="s">
        <v>101</v>
      </c>
      <c r="H16" s="68">
        <v>46057</v>
      </c>
      <c r="I16" s="68">
        <v>46236</v>
      </c>
      <c r="J16" s="70" t="s">
        <v>102</v>
      </c>
      <c r="K16" s="60"/>
    </row>
    <row r="17" spans="2:11" ht="45" x14ac:dyDescent="0.25">
      <c r="B17" s="59" t="s">
        <v>54</v>
      </c>
      <c r="C17" s="66" t="s">
        <v>99</v>
      </c>
      <c r="D17" s="66">
        <v>4600108890</v>
      </c>
      <c r="E17" s="60" t="s">
        <v>100</v>
      </c>
      <c r="F17" s="66" t="s">
        <v>103</v>
      </c>
      <c r="G17" s="60" t="s">
        <v>101</v>
      </c>
      <c r="H17" s="68"/>
      <c r="I17" s="68">
        <v>46387</v>
      </c>
      <c r="J17" s="88" t="s">
        <v>104</v>
      </c>
      <c r="K17" s="60" t="s">
        <v>105</v>
      </c>
    </row>
    <row r="18" spans="2:11" ht="45" x14ac:dyDescent="0.25">
      <c r="B18" s="59" t="s">
        <v>54</v>
      </c>
      <c r="C18" s="66" t="s">
        <v>99</v>
      </c>
      <c r="D18" s="66">
        <v>4600106234</v>
      </c>
      <c r="E18" s="60" t="s">
        <v>106</v>
      </c>
      <c r="F18" s="66" t="s">
        <v>90</v>
      </c>
      <c r="G18" s="60" t="s">
        <v>34</v>
      </c>
      <c r="H18" s="68">
        <v>46002</v>
      </c>
      <c r="I18" s="68">
        <v>46294</v>
      </c>
      <c r="J18" s="70" t="s">
        <v>107</v>
      </c>
      <c r="K18" s="60"/>
    </row>
    <row r="19" spans="2:11" ht="30" x14ac:dyDescent="0.25">
      <c r="B19" s="80" t="s">
        <v>54</v>
      </c>
      <c r="C19" s="81" t="s">
        <v>99</v>
      </c>
      <c r="D19" s="81"/>
      <c r="E19" s="82" t="s">
        <v>106</v>
      </c>
      <c r="F19" s="81" t="s">
        <v>64</v>
      </c>
      <c r="G19" s="82" t="s">
        <v>34</v>
      </c>
      <c r="H19" s="83"/>
      <c r="I19" s="83"/>
      <c r="J19" s="82"/>
      <c r="K19" s="82" t="s">
        <v>108</v>
      </c>
    </row>
    <row r="20" spans="2:11" ht="45" x14ac:dyDescent="0.25">
      <c r="B20" s="59" t="s">
        <v>54</v>
      </c>
      <c r="C20" s="66" t="s">
        <v>99</v>
      </c>
      <c r="D20" s="66">
        <v>4600104824</v>
      </c>
      <c r="E20" s="60" t="s">
        <v>100</v>
      </c>
      <c r="F20" s="66" t="s">
        <v>62</v>
      </c>
      <c r="G20" s="60" t="s">
        <v>86</v>
      </c>
      <c r="H20" s="68">
        <v>46150</v>
      </c>
      <c r="I20" s="68">
        <v>46254</v>
      </c>
      <c r="J20" s="70" t="s">
        <v>109</v>
      </c>
      <c r="K20" s="60"/>
    </row>
    <row r="21" spans="2:11" ht="30" x14ac:dyDescent="0.25">
      <c r="B21" s="80" t="s">
        <v>54</v>
      </c>
      <c r="C21" s="81" t="s">
        <v>99</v>
      </c>
      <c r="D21" s="81"/>
      <c r="E21" s="82" t="s">
        <v>100</v>
      </c>
      <c r="F21" s="81" t="s">
        <v>64</v>
      </c>
      <c r="G21" s="82" t="s">
        <v>86</v>
      </c>
      <c r="H21" s="83"/>
      <c r="I21" s="83"/>
      <c r="J21" s="82"/>
      <c r="K21" s="82" t="s">
        <v>110</v>
      </c>
    </row>
    <row r="22" spans="2:11" ht="30" x14ac:dyDescent="0.25">
      <c r="B22" s="84" t="s">
        <v>54</v>
      </c>
      <c r="C22" s="78" t="s">
        <v>99</v>
      </c>
      <c r="D22" s="78"/>
      <c r="E22" s="79" t="s">
        <v>111</v>
      </c>
      <c r="F22" s="78" t="s">
        <v>64</v>
      </c>
      <c r="G22" s="79" t="s">
        <v>28</v>
      </c>
      <c r="H22" s="85"/>
      <c r="I22" s="85"/>
      <c r="J22" s="79"/>
      <c r="K22" s="79"/>
    </row>
    <row r="23" spans="2:11" ht="30" x14ac:dyDescent="0.25">
      <c r="B23" s="84" t="s">
        <v>54</v>
      </c>
      <c r="C23" s="78" t="s">
        <v>99</v>
      </c>
      <c r="D23" s="78"/>
      <c r="E23" s="79" t="s">
        <v>112</v>
      </c>
      <c r="F23" s="78" t="s">
        <v>64</v>
      </c>
      <c r="G23" s="79" t="s">
        <v>28</v>
      </c>
      <c r="H23" s="85"/>
      <c r="I23" s="85"/>
      <c r="J23" s="79"/>
      <c r="K23" s="79"/>
    </row>
    <row r="24" spans="2:11" ht="45" x14ac:dyDescent="0.25">
      <c r="B24" s="59" t="s">
        <v>54</v>
      </c>
      <c r="C24" s="66" t="s">
        <v>99</v>
      </c>
      <c r="D24" s="66">
        <v>4600107674</v>
      </c>
      <c r="E24" s="60" t="s">
        <v>113</v>
      </c>
      <c r="F24" s="66" t="s">
        <v>62</v>
      </c>
      <c r="G24" s="60" t="s">
        <v>114</v>
      </c>
      <c r="H24" s="68">
        <v>46106</v>
      </c>
      <c r="I24" s="68">
        <v>46272</v>
      </c>
      <c r="J24" s="70" t="s">
        <v>115</v>
      </c>
      <c r="K24" s="60"/>
    </row>
    <row r="25" spans="2:11" ht="45" x14ac:dyDescent="0.25">
      <c r="B25" s="59" t="s">
        <v>54</v>
      </c>
      <c r="C25" s="66" t="s">
        <v>99</v>
      </c>
      <c r="D25" s="66">
        <v>4600107688</v>
      </c>
      <c r="E25" s="60" t="s">
        <v>116</v>
      </c>
      <c r="F25" s="66" t="s">
        <v>68</v>
      </c>
      <c r="G25" s="60" t="s">
        <v>117</v>
      </c>
      <c r="H25" s="68">
        <v>46106</v>
      </c>
      <c r="I25" s="68">
        <v>46294</v>
      </c>
      <c r="J25" s="70" t="s">
        <v>118</v>
      </c>
      <c r="K25" s="60"/>
    </row>
    <row r="26" spans="2:11" ht="45" x14ac:dyDescent="0.25">
      <c r="B26" s="59" t="s">
        <v>54</v>
      </c>
      <c r="C26" s="66" t="s">
        <v>99</v>
      </c>
      <c r="D26" s="66">
        <v>4600107991</v>
      </c>
      <c r="E26" s="61" t="s">
        <v>119</v>
      </c>
      <c r="F26" s="67" t="s">
        <v>68</v>
      </c>
      <c r="G26" s="61" t="s">
        <v>120</v>
      </c>
      <c r="H26" s="69">
        <v>46274</v>
      </c>
      <c r="I26" s="69">
        <v>46333</v>
      </c>
      <c r="J26" s="87" t="s">
        <v>121</v>
      </c>
      <c r="K26" s="61"/>
    </row>
    <row r="27" spans="2:11" ht="45" x14ac:dyDescent="0.25">
      <c r="B27" s="59" t="s">
        <v>54</v>
      </c>
      <c r="C27" s="66" t="s">
        <v>99</v>
      </c>
      <c r="D27" s="66">
        <v>4600108269</v>
      </c>
      <c r="E27" s="60" t="s">
        <v>122</v>
      </c>
      <c r="F27" s="67" t="s">
        <v>68</v>
      </c>
      <c r="G27" s="60" t="s">
        <v>123</v>
      </c>
      <c r="H27" s="69">
        <v>46275</v>
      </c>
      <c r="I27" s="69">
        <v>46348</v>
      </c>
      <c r="J27" s="88" t="s">
        <v>124</v>
      </c>
      <c r="K27" s="60"/>
    </row>
    <row r="28" spans="2:11" ht="45" x14ac:dyDescent="0.25">
      <c r="B28" s="59" t="s">
        <v>54</v>
      </c>
      <c r="C28" s="66" t="s">
        <v>99</v>
      </c>
      <c r="D28" s="66">
        <v>4600107729</v>
      </c>
      <c r="E28" s="60" t="s">
        <v>125</v>
      </c>
      <c r="F28" s="66" t="s">
        <v>68</v>
      </c>
      <c r="G28" s="60" t="s">
        <v>126</v>
      </c>
      <c r="H28" s="68">
        <v>46167</v>
      </c>
      <c r="I28" s="68">
        <v>46351</v>
      </c>
      <c r="J28" s="70" t="s">
        <v>127</v>
      </c>
      <c r="K28" s="60"/>
    </row>
    <row r="29" spans="2:11" ht="45" x14ac:dyDescent="0.25">
      <c r="B29" s="59" t="s">
        <v>54</v>
      </c>
      <c r="C29" s="66" t="s">
        <v>99</v>
      </c>
      <c r="D29" s="66"/>
      <c r="E29" s="60" t="s">
        <v>125</v>
      </c>
      <c r="F29" s="66" t="s">
        <v>57</v>
      </c>
      <c r="G29" s="60"/>
      <c r="H29" s="68"/>
      <c r="I29" s="68"/>
      <c r="J29" s="60"/>
      <c r="K29" s="60" t="s">
        <v>128</v>
      </c>
    </row>
    <row r="30" spans="2:11" ht="30" x14ac:dyDescent="0.25">
      <c r="B30" s="59" t="s">
        <v>54</v>
      </c>
      <c r="C30" s="66" t="s">
        <v>99</v>
      </c>
      <c r="D30" s="66"/>
      <c r="E30" s="60" t="s">
        <v>129</v>
      </c>
      <c r="F30" s="66" t="s">
        <v>57</v>
      </c>
      <c r="G30" s="60"/>
      <c r="H30" s="68"/>
      <c r="I30" s="68"/>
      <c r="J30" s="60"/>
      <c r="K30" s="60" t="s">
        <v>130</v>
      </c>
    </row>
    <row r="31" spans="2:11" ht="30" x14ac:dyDescent="0.25">
      <c r="B31" s="59" t="s">
        <v>54</v>
      </c>
      <c r="C31" s="66" t="s">
        <v>99</v>
      </c>
      <c r="D31" s="66"/>
      <c r="E31" s="60" t="s">
        <v>131</v>
      </c>
      <c r="F31" s="66" t="s">
        <v>57</v>
      </c>
      <c r="G31" s="60"/>
      <c r="H31" s="68"/>
      <c r="I31" s="68"/>
      <c r="J31" s="60"/>
      <c r="K31" s="60" t="s">
        <v>132</v>
      </c>
    </row>
    <row r="32" spans="2:11" ht="45" x14ac:dyDescent="0.25">
      <c r="B32" s="59" t="s">
        <v>54</v>
      </c>
      <c r="C32" s="66" t="s">
        <v>99</v>
      </c>
      <c r="D32" s="66"/>
      <c r="E32" s="60" t="s">
        <v>133</v>
      </c>
      <c r="F32" s="66" t="s">
        <v>57</v>
      </c>
      <c r="G32" s="60"/>
      <c r="H32" s="68"/>
      <c r="I32" s="68"/>
      <c r="J32" s="60"/>
      <c r="K32" s="60" t="s">
        <v>134</v>
      </c>
    </row>
    <row r="33" spans="2:11" ht="45" x14ac:dyDescent="0.25">
      <c r="B33" s="59" t="s">
        <v>54</v>
      </c>
      <c r="C33" s="66" t="s">
        <v>99</v>
      </c>
      <c r="D33" s="66">
        <v>4600107691</v>
      </c>
      <c r="E33" s="60" t="s">
        <v>135</v>
      </c>
      <c r="F33" s="66" t="s">
        <v>68</v>
      </c>
      <c r="G33" s="60" t="s">
        <v>136</v>
      </c>
      <c r="H33" s="68">
        <v>46125</v>
      </c>
      <c r="I33" s="68">
        <v>46369</v>
      </c>
      <c r="J33" s="70" t="s">
        <v>137</v>
      </c>
      <c r="K33" s="60"/>
    </row>
    <row r="34" spans="2:11" ht="45" x14ac:dyDescent="0.25">
      <c r="B34" s="59" t="s">
        <v>54</v>
      </c>
      <c r="C34" s="66" t="s">
        <v>99</v>
      </c>
      <c r="D34" s="66">
        <v>4600107715</v>
      </c>
      <c r="E34" s="60" t="s">
        <v>138</v>
      </c>
      <c r="F34" s="66" t="s">
        <v>68</v>
      </c>
      <c r="G34" s="60" t="s">
        <v>139</v>
      </c>
      <c r="H34" s="68">
        <v>46209</v>
      </c>
      <c r="I34" s="68">
        <v>46329</v>
      </c>
      <c r="J34" s="70" t="s">
        <v>140</v>
      </c>
      <c r="K34" s="60"/>
    </row>
    <row r="35" spans="2:11" ht="45.75" customHeight="1" x14ac:dyDescent="0.25">
      <c r="B35" s="59" t="s">
        <v>54</v>
      </c>
      <c r="C35" s="66" t="s">
        <v>99</v>
      </c>
      <c r="D35" s="66"/>
      <c r="E35" s="61" t="s">
        <v>141</v>
      </c>
      <c r="F35" s="67" t="s">
        <v>57</v>
      </c>
      <c r="G35" s="61"/>
      <c r="H35" s="69"/>
      <c r="I35" s="69"/>
      <c r="J35" s="61"/>
      <c r="K35" s="61" t="s">
        <v>142</v>
      </c>
    </row>
    <row r="36" spans="2:11" ht="78" customHeight="1" x14ac:dyDescent="0.25">
      <c r="B36" s="59" t="s">
        <v>54</v>
      </c>
      <c r="C36" s="66" t="s">
        <v>99</v>
      </c>
      <c r="D36" s="66"/>
      <c r="E36" s="60" t="s">
        <v>143</v>
      </c>
      <c r="F36" s="66" t="s">
        <v>57</v>
      </c>
      <c r="G36" s="60"/>
      <c r="H36" s="68"/>
      <c r="I36" s="68"/>
      <c r="J36" s="60"/>
      <c r="K36" s="60" t="s">
        <v>144</v>
      </c>
    </row>
    <row r="37" spans="2:11" ht="45" x14ac:dyDescent="0.25">
      <c r="B37" s="59" t="s">
        <v>54</v>
      </c>
      <c r="C37" s="66" t="s">
        <v>99</v>
      </c>
      <c r="D37" s="66">
        <v>4600107775</v>
      </c>
      <c r="E37" s="60" t="s">
        <v>145</v>
      </c>
      <c r="F37" s="66" t="s">
        <v>68</v>
      </c>
      <c r="G37" s="60" t="s">
        <v>146</v>
      </c>
      <c r="H37" s="68">
        <v>46224</v>
      </c>
      <c r="I37" s="68">
        <v>46316</v>
      </c>
      <c r="J37" s="70" t="s">
        <v>147</v>
      </c>
      <c r="K37" s="60"/>
    </row>
    <row r="38" spans="2:11" ht="60" x14ac:dyDescent="0.25">
      <c r="B38" s="59" t="s">
        <v>54</v>
      </c>
      <c r="C38" s="66" t="s">
        <v>99</v>
      </c>
      <c r="D38" s="66"/>
      <c r="E38" s="60" t="s">
        <v>145</v>
      </c>
      <c r="F38" s="66" t="s">
        <v>64</v>
      </c>
      <c r="G38" s="60"/>
      <c r="H38" s="68"/>
      <c r="I38" s="68"/>
      <c r="J38" s="60"/>
      <c r="K38" s="60" t="s">
        <v>148</v>
      </c>
    </row>
    <row r="39" spans="2:11" ht="60" x14ac:dyDescent="0.25">
      <c r="B39" s="59" t="s">
        <v>54</v>
      </c>
      <c r="C39" s="66" t="s">
        <v>99</v>
      </c>
      <c r="D39" s="66"/>
      <c r="E39" s="60" t="s">
        <v>149</v>
      </c>
      <c r="F39" s="66" t="s">
        <v>64</v>
      </c>
      <c r="G39" s="60"/>
      <c r="H39" s="68"/>
      <c r="I39" s="68"/>
      <c r="J39" s="60"/>
      <c r="K39" s="60" t="s">
        <v>150</v>
      </c>
    </row>
    <row r="40" spans="2:11" ht="30" x14ac:dyDescent="0.25">
      <c r="B40" s="59" t="s">
        <v>54</v>
      </c>
      <c r="C40" s="66" t="s">
        <v>99</v>
      </c>
      <c r="D40" s="66">
        <v>4600107948</v>
      </c>
      <c r="E40" s="60" t="s">
        <v>151</v>
      </c>
      <c r="F40" s="66" t="s">
        <v>68</v>
      </c>
      <c r="G40" s="60" t="s">
        <v>152</v>
      </c>
      <c r="H40" s="68">
        <v>46211</v>
      </c>
      <c r="I40" s="68">
        <v>46387</v>
      </c>
      <c r="J40" s="70" t="s">
        <v>153</v>
      </c>
      <c r="K40" s="60"/>
    </row>
    <row r="41" spans="2:11" ht="45" x14ac:dyDescent="0.25">
      <c r="B41" s="59" t="s">
        <v>54</v>
      </c>
      <c r="C41" s="66" t="s">
        <v>99</v>
      </c>
      <c r="D41" s="66">
        <v>4600107949</v>
      </c>
      <c r="E41" s="60" t="s">
        <v>154</v>
      </c>
      <c r="F41" s="66" t="s">
        <v>68</v>
      </c>
      <c r="G41" s="60" t="s">
        <v>155</v>
      </c>
      <c r="H41" s="68">
        <v>46206</v>
      </c>
      <c r="I41" s="68">
        <v>46387</v>
      </c>
      <c r="J41" s="70" t="s">
        <v>156</v>
      </c>
      <c r="K41" s="60"/>
    </row>
    <row r="42" spans="2:11" ht="45" x14ac:dyDescent="0.25">
      <c r="B42" s="59" t="s">
        <v>54</v>
      </c>
      <c r="C42" s="66" t="s">
        <v>99</v>
      </c>
      <c r="D42" s="66">
        <v>4600105638</v>
      </c>
      <c r="E42" s="60" t="s">
        <v>157</v>
      </c>
      <c r="F42" s="66" t="s">
        <v>68</v>
      </c>
      <c r="G42" s="60" t="s">
        <v>158</v>
      </c>
      <c r="H42" s="68">
        <v>45945</v>
      </c>
      <c r="I42" s="68">
        <v>46374</v>
      </c>
      <c r="J42" s="70" t="s">
        <v>159</v>
      </c>
      <c r="K42" s="60"/>
    </row>
    <row r="43" spans="2:11" ht="45" x14ac:dyDescent="0.25">
      <c r="B43" s="59" t="s">
        <v>54</v>
      </c>
      <c r="C43" s="66" t="s">
        <v>99</v>
      </c>
      <c r="D43" s="66">
        <v>4600105557</v>
      </c>
      <c r="E43" s="60" t="s">
        <v>157</v>
      </c>
      <c r="F43" s="66" t="s">
        <v>68</v>
      </c>
      <c r="G43" s="60" t="s">
        <v>158</v>
      </c>
      <c r="H43" s="68">
        <v>45945</v>
      </c>
      <c r="I43" s="68">
        <v>46374</v>
      </c>
      <c r="J43" s="70" t="s">
        <v>159</v>
      </c>
      <c r="K43" s="60"/>
    </row>
    <row r="44" spans="2:11" ht="30" x14ac:dyDescent="0.25">
      <c r="B44" s="59" t="s">
        <v>54</v>
      </c>
      <c r="C44" s="66" t="s">
        <v>99</v>
      </c>
      <c r="D44" s="66"/>
      <c r="E44" s="60" t="s">
        <v>160</v>
      </c>
      <c r="F44" s="66" t="s">
        <v>57</v>
      </c>
      <c r="G44" s="60"/>
      <c r="H44" s="68"/>
      <c r="I44" s="68"/>
      <c r="J44" s="60"/>
      <c r="K44" s="60" t="s">
        <v>161</v>
      </c>
    </row>
    <row r="45" spans="2:11" ht="45" x14ac:dyDescent="0.25">
      <c r="B45" s="59" t="s">
        <v>54</v>
      </c>
      <c r="C45" s="66" t="s">
        <v>99</v>
      </c>
      <c r="D45" s="66"/>
      <c r="E45" s="60" t="s">
        <v>162</v>
      </c>
      <c r="F45" s="66" t="s">
        <v>57</v>
      </c>
      <c r="G45" s="60"/>
      <c r="H45" s="68"/>
      <c r="I45" s="68"/>
      <c r="J45" s="60"/>
      <c r="K45" s="60" t="s">
        <v>163</v>
      </c>
    </row>
    <row r="46" spans="2:11" ht="45" x14ac:dyDescent="0.25">
      <c r="B46" s="59" t="s">
        <v>54</v>
      </c>
      <c r="C46" s="66" t="s">
        <v>99</v>
      </c>
      <c r="D46" s="67">
        <v>4600107838</v>
      </c>
      <c r="E46" s="61" t="s">
        <v>164</v>
      </c>
      <c r="F46" s="67" t="s">
        <v>68</v>
      </c>
      <c r="G46" s="61" t="s">
        <v>165</v>
      </c>
      <c r="H46" s="69">
        <v>46157</v>
      </c>
      <c r="I46" s="69">
        <v>46387</v>
      </c>
      <c r="J46" s="86" t="s">
        <v>166</v>
      </c>
      <c r="K46" s="61"/>
    </row>
    <row r="47" spans="2:11" ht="60" x14ac:dyDescent="0.25">
      <c r="B47" s="59" t="s">
        <v>54</v>
      </c>
      <c r="C47" s="66" t="s">
        <v>99</v>
      </c>
      <c r="D47" s="67"/>
      <c r="E47" s="60" t="s">
        <v>167</v>
      </c>
      <c r="F47" s="66" t="s">
        <v>57</v>
      </c>
      <c r="G47" s="60"/>
      <c r="H47" s="68"/>
      <c r="I47" s="68"/>
      <c r="J47" s="60"/>
      <c r="K47" s="60" t="s">
        <v>168</v>
      </c>
    </row>
    <row r="48" spans="2:11" ht="30" x14ac:dyDescent="0.25">
      <c r="B48" s="59" t="s">
        <v>54</v>
      </c>
      <c r="C48" s="66" t="s">
        <v>99</v>
      </c>
      <c r="D48" s="67"/>
      <c r="E48" s="61" t="s">
        <v>169</v>
      </c>
      <c r="F48" s="67" t="s">
        <v>57</v>
      </c>
      <c r="G48" s="61"/>
      <c r="H48" s="69"/>
      <c r="I48" s="69"/>
      <c r="J48" s="61"/>
      <c r="K48" s="61" t="s">
        <v>170</v>
      </c>
    </row>
    <row r="49" spans="2:11" ht="45" x14ac:dyDescent="0.25">
      <c r="B49" s="59" t="s">
        <v>54</v>
      </c>
      <c r="C49" s="66" t="s">
        <v>99</v>
      </c>
      <c r="D49" s="67"/>
      <c r="E49" s="61" t="s">
        <v>171</v>
      </c>
      <c r="F49" s="67" t="s">
        <v>57</v>
      </c>
      <c r="G49" s="61"/>
      <c r="H49" s="69"/>
      <c r="I49" s="69"/>
      <c r="J49" s="61"/>
      <c r="K49" s="61" t="s">
        <v>172</v>
      </c>
    </row>
  </sheetData>
  <conditionalFormatting sqref="F3:F46 F48">
    <cfRule type="containsText" dxfId="8" priority="10" operator="containsText" text="Próximo a terminar">
      <formula>NOT(ISERROR(SEARCH("Próximo a terminar",F3)))</formula>
    </cfRule>
  </conditionalFormatting>
  <conditionalFormatting sqref="F3:F49">
    <cfRule type="containsText" dxfId="7" priority="1" operator="containsText" text="Alerta Precontractual ">
      <formula>NOT(ISERROR(SEARCH("Alerta Precontractual ",F3)))</formula>
    </cfRule>
    <cfRule type="containsText" dxfId="6" priority="2" operator="containsText" text="Terminado">
      <formula>NOT(ISERROR(SEARCH("Terminado",F3)))</formula>
    </cfRule>
    <cfRule type="containsText" dxfId="5" priority="3" operator="containsText" text="Firmado">
      <formula>NOT(ISERROR(SEARCH("Firmado",F3)))</formula>
    </cfRule>
    <cfRule type="containsText" dxfId="4" priority="4" operator="containsText" text="Ejecución">
      <formula>NOT(ISERROR(SEARCH("Ejecución",F3)))</formula>
    </cfRule>
    <cfRule type="containsText" dxfId="3" priority="5" operator="containsText" text="Precontractual">
      <formula>NOT(ISERROR(SEARCH("Precontractual",F3)))</formula>
    </cfRule>
    <cfRule type="containsText" dxfId="2" priority="6" operator="containsText" text="Alerta precontractual">
      <formula>NOT(ISERROR(SEARCH("Alerta precontractual",F3)))</formula>
    </cfRule>
    <cfRule type="containsText" dxfId="1" priority="7" operator="containsText" text="Próximo a terminar selección">
      <formula>NOT(ISERROR(SEARCH("Próximo a terminar selección",F3)))</formula>
    </cfRule>
    <cfRule type="containsText" dxfId="0" priority="8" operator="containsText" text="Próximo a terminar directo">
      <formula>NOT(ISERROR(SEARCH("Próximo a terminar directo",F3)))</formula>
    </cfRule>
  </conditionalFormatting>
  <hyperlinks>
    <hyperlink ref="J3" r:id="rId1" xr:uid="{E986409A-356C-465A-8577-02A940639BBB}"/>
    <hyperlink ref="J6" r:id="rId2" xr:uid="{190A0D9A-9BAD-4DBE-ACDC-0D05024C660F}"/>
    <hyperlink ref="J7" r:id="rId3" xr:uid="{DE9D0A02-FD97-494D-9A8D-92DA23DD2FC0}"/>
    <hyperlink ref="J8" r:id="rId4" xr:uid="{B67A8B3A-0126-46CD-9CBE-38DDCFCECFE3}"/>
    <hyperlink ref="J9" r:id="rId5" xr:uid="{9EBB777E-D2AD-4DF9-B9AD-6BF6A89C9748}"/>
    <hyperlink ref="J10" r:id="rId6" xr:uid="{B2E5F1E8-FD6E-4750-B669-A52401FD383C}"/>
    <hyperlink ref="J11" r:id="rId7" xr:uid="{8E83D5F6-0053-430A-8559-88C0F707C125}"/>
    <hyperlink ref="J12" r:id="rId8" xr:uid="{A04F1669-B683-4E79-BF4D-BACD6D932C06}"/>
    <hyperlink ref="J13" r:id="rId9" xr:uid="{0481AC49-1F9C-4809-B0DF-7E7BF0658776}"/>
    <hyperlink ref="J14" r:id="rId10" xr:uid="{95745E18-A9B4-4630-9A3C-F88CE8E9CE72}"/>
    <hyperlink ref="J15" r:id="rId11" xr:uid="{BBAED012-9D46-4DE3-812B-C9DC70DD93EB}"/>
    <hyperlink ref="J16" r:id="rId12" xr:uid="{5108351D-533E-4C9F-A2C2-D83E2029E05B}"/>
    <hyperlink ref="J18" r:id="rId13" xr:uid="{B91594F1-72FD-4680-B7DE-D3942F465127}"/>
    <hyperlink ref="J20" r:id="rId14" xr:uid="{ECA7D209-3C26-4CF5-A7AB-C70DD9BACCF1}"/>
    <hyperlink ref="J28" r:id="rId15" xr:uid="{2F1B8E39-7F6C-4410-972E-0F154CB1AAC6}"/>
    <hyperlink ref="J24" r:id="rId16" xr:uid="{39DD2E65-234E-4450-BFCA-970DE02477BA}"/>
    <hyperlink ref="J33" r:id="rId17" xr:uid="{60853DC4-F94C-4B24-80B8-731A9E1F79B2}"/>
    <hyperlink ref="J34" r:id="rId18" xr:uid="{4FD47B28-E01C-47C7-BF8D-B9E7EA653BD2}"/>
    <hyperlink ref="J37" r:id="rId19" xr:uid="{37F2C1CD-B55F-4030-B7B1-69E8FF5F686A}"/>
    <hyperlink ref="J42" r:id="rId20" xr:uid="{938D43D9-2CCA-4E89-BABC-2A3EE8F04FD0}"/>
    <hyperlink ref="J43" r:id="rId21" xr:uid="{F07C41D3-7D4D-45FD-BB82-C2DB19C9A23E}"/>
    <hyperlink ref="J40" r:id="rId22" xr:uid="{E4C79FF6-55B0-4017-A8CE-74BF3B6C691C}"/>
    <hyperlink ref="J41" r:id="rId23" xr:uid="{E3AEFC14-4684-4DEF-9D52-0129C16AECA3}"/>
    <hyperlink ref="J46" r:id="rId24" xr:uid="{E0BE2556-8195-4BA6-B463-68CCDD99CD55}"/>
    <hyperlink ref="J25" r:id="rId25" xr:uid="{BA379E27-536D-4041-B411-1B97AA4D82B3}"/>
    <hyperlink ref="J26" r:id="rId26" xr:uid="{ECA1655E-2F40-4002-8C40-030C0B6C1FB4}"/>
    <hyperlink ref="J27" r:id="rId27" xr:uid="{46C11D8F-A78E-4736-862A-54335FEFBFE4}"/>
    <hyperlink ref="J4" r:id="rId28" xr:uid="{499C52FB-F33E-412B-B010-DD5AE44C6F97}"/>
    <hyperlink ref="J17" r:id="rId29" xr:uid="{E2952F67-833B-440B-9DA1-66DD012195E1}"/>
  </hyperlinks>
  <pageMargins left="0.7" right="0.7" top="0.75" bottom="0.75" header="0.3" footer="0.3"/>
  <tableParts count="1">
    <tablePart r:id="rId30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F2F253D-8238-4973-AE97-F21EE4E72069}">
          <x14:formula1>
            <xm:f>Lista!$A$3:$A$17</xm:f>
          </x14:formula1>
          <xm:sqref>B1:B1048576</xm:sqref>
        </x14:dataValidation>
        <x14:dataValidation type="list" allowBlank="1" showInputMessage="1" showErrorMessage="1" xr:uid="{8DE36FB9-706C-4832-A345-27C4C4C2D216}">
          <x14:formula1>
            <xm:f>Lista!$B$3:$B$9</xm:f>
          </x14:formula1>
          <xm:sqref>F3:F49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E681-E01D-4FF7-BF0A-5D0563EF5A83}">
  <dimension ref="A2:B17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55.7109375" customWidth="1"/>
    <col min="2" max="2" width="30" customWidth="1"/>
  </cols>
  <sheetData>
    <row r="2" spans="1:2" x14ac:dyDescent="0.25">
      <c r="A2" t="s">
        <v>173</v>
      </c>
      <c r="B2" t="s">
        <v>174</v>
      </c>
    </row>
    <row r="3" spans="1:2" x14ac:dyDescent="0.25">
      <c r="A3" s="65" t="s">
        <v>175</v>
      </c>
      <c r="B3" t="s">
        <v>64</v>
      </c>
    </row>
    <row r="4" spans="1:2" x14ac:dyDescent="0.25">
      <c r="A4" s="65" t="s">
        <v>176</v>
      </c>
      <c r="B4" t="s">
        <v>103</v>
      </c>
    </row>
    <row r="5" spans="1:2" x14ac:dyDescent="0.25">
      <c r="A5" s="65" t="s">
        <v>177</v>
      </c>
      <c r="B5" t="s">
        <v>68</v>
      </c>
    </row>
    <row r="6" spans="1:2" x14ac:dyDescent="0.25">
      <c r="A6" s="65" t="s">
        <v>178</v>
      </c>
      <c r="B6" t="s">
        <v>62</v>
      </c>
    </row>
    <row r="7" spans="1:2" x14ac:dyDescent="0.25">
      <c r="A7" s="65" t="s">
        <v>179</v>
      </c>
      <c r="B7" t="s">
        <v>90</v>
      </c>
    </row>
    <row r="8" spans="1:2" x14ac:dyDescent="0.25">
      <c r="A8" s="65" t="s">
        <v>180</v>
      </c>
      <c r="B8" s="89" t="s">
        <v>181</v>
      </c>
    </row>
    <row r="9" spans="1:2" x14ac:dyDescent="0.25">
      <c r="A9" s="65" t="s">
        <v>182</v>
      </c>
      <c r="B9" t="s">
        <v>57</v>
      </c>
    </row>
    <row r="10" spans="1:2" x14ac:dyDescent="0.25">
      <c r="A10" s="65" t="s">
        <v>183</v>
      </c>
    </row>
    <row r="11" spans="1:2" x14ac:dyDescent="0.25">
      <c r="A11" s="65" t="s">
        <v>184</v>
      </c>
    </row>
    <row r="12" spans="1:2" x14ac:dyDescent="0.25">
      <c r="A12" s="65" t="s">
        <v>185</v>
      </c>
    </row>
    <row r="13" spans="1:2" x14ac:dyDescent="0.25">
      <c r="A13" s="65" t="s">
        <v>54</v>
      </c>
    </row>
    <row r="14" spans="1:2" x14ac:dyDescent="0.25">
      <c r="A14" s="65" t="s">
        <v>186</v>
      </c>
    </row>
    <row r="15" spans="1:2" x14ac:dyDescent="0.25">
      <c r="A15" s="65" t="s">
        <v>187</v>
      </c>
    </row>
    <row r="16" spans="1:2" x14ac:dyDescent="0.25">
      <c r="A16" s="65" t="s">
        <v>188</v>
      </c>
    </row>
    <row r="17" spans="1:1" x14ac:dyDescent="0.25">
      <c r="A17" s="65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Personal 2025</vt:lpstr>
      <vt:lpstr>Personal  2026</vt:lpstr>
      <vt:lpstr>Contratos</vt:lpstr>
      <vt:lpstr>Lista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Andrea Perez Alvarez</dc:creator>
  <cp:keywords/>
  <dc:description/>
  <cp:lastModifiedBy>Kelly Yajaira Herrera Arias</cp:lastModifiedBy>
  <cp:revision/>
  <dcterms:created xsi:type="dcterms:W3CDTF">2025-05-07T13:12:50Z</dcterms:created>
  <dcterms:modified xsi:type="dcterms:W3CDTF">2026-09-23T15:28:04Z</dcterms:modified>
  <cp:category/>
  <cp:contentStatus/>
</cp:coreProperties>
</file>